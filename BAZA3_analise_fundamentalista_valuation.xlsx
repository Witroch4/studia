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5.xml" ContentType="application/vnd.openxmlformats-officedocument.spreadsheetml.worksheet+xml"/>
  <Override PartName="/xl/tables/table12.xml" ContentType="application/vnd.openxmlformats-officedocument.spreadsheetml.table+xml"/>
  <Override PartName="/xl/worksheets/sheet6.xml" ContentType="application/vnd.openxmlformats-officedocument.spreadsheetml.worksheet+xml"/>
  <Override PartName="/xl/tables/table13.xml" ContentType="application/vnd.openxmlformats-officedocument.spreadsheetml.table+xml"/>
  <Override PartName="/xl/worksheets/sheet7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sheets/sheet8.xml" ContentType="application/vnd.openxmlformats-officedocument.spreadsheetml.worksheet+xml"/>
  <Override PartName="/xl/tables/table17.xml" ContentType="application/vnd.openxmlformats-officedocument.spreadsheetml.table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9ce73bec5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c8af2f7b18d4c7a"/>
    <x:sheet xmlns:r="http://schemas.openxmlformats.org/officeDocument/2006/relationships" name="Inputs" sheetId="2" r:id="Re13437398e444588"/>
    <x:sheet xmlns:r="http://schemas.openxmlformats.org/officeDocument/2006/relationships" name="Historico" sheetId="3" r:id="Raaffa24334894567"/>
    <x:sheet xmlns:r="http://schemas.openxmlformats.org/officeDocument/2006/relationships" name="Dividendos" sheetId="4" r:id="R6c817458fd124c90"/>
    <x:sheet xmlns:r="http://schemas.openxmlformats.org/officeDocument/2006/relationships" name="Valuation 10a" sheetId="5" r:id="Rcc544cf7083d4c18"/>
    <x:sheet xmlns:r="http://schemas.openxmlformats.org/officeDocument/2006/relationships" name="Sensibilidade" sheetId="6" r:id="Reb1a1f874ced476d"/>
    <x:sheet xmlns:r="http://schemas.openxmlformats.org/officeDocument/2006/relationships" name="Jul-2007 Boom" sheetId="7" r:id="R0d73b0458ec34aec"/>
    <x:sheet xmlns:r="http://schemas.openxmlformats.org/officeDocument/2006/relationships" name="Fontes" sheetId="8" r:id="Rfcb9fc6fdb61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R$ #,##0.00;[Red](R$ #,##0.00);-"/>
    <x:numFmt numFmtId="201" formatCode="#,##0;[Red](#,##0);-"/>
    <x:numFmt numFmtId="202" formatCode="0.00%;[Red](0.00%);-"/>
    <x:numFmt numFmtId="203" formatCode="0.00x;[Red](0.00x);-"/>
    <x:numFmt numFmtId="204" formatCode="R$ #,##0;[Red](R$ #,##0);-"/>
    <x:numFmt numFmtId="205" formatCode="dd/mm/yyyy"/>
    <x:numFmt numFmtId="206" formatCode="&quot;R$&quot; #,##0.00;[Red](&quot;R$&quot; #,##0.00);-"/>
    <x:numFmt numFmtId="207" formatCode="&quot;R$&quot; #,##0;[Red](&quot;R$&quot; #,##0);-"/>
  </x:numFmts>
  <x:fonts count="11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  <x:font>
      <x:b/>
      <x:sz val="11"/>
      <x:name val="Carlito"/>
    </x:font>
    <x:font>
      <x:i/>
      <x:sz val="11"/>
      <x:color rgb="666666"/>
      <x:name val="Carlito"/>
    </x:font>
    <x:font>
      <x:sz val="11"/>
      <x:color rgb="008000"/>
      <x:name val="Carlito"/>
    </x:font>
    <x:font>
      <x:b/>
      <x:sz val="11"/>
      <x:color rgb="0000FF"/>
      <x:name val="Carlito"/>
    </x:font>
    <x:font>
      <x:b/>
      <x:sz val="11"/>
      <x:color rgb="9C0006"/>
      <x:name val="Carlito"/>
    </x:font>
    <x:font>
      <x:b/>
      <x:sz val="11"/>
      <x:color rgb="0B1F3A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B1F3A"/>
      </x:patternFill>
    </x:fill>
    <x:fill>
      <x:patternFill patternType="solid">
        <x:fgColor rgb="1F4E78"/>
      </x:patternFill>
    </x:fill>
    <x:fill>
      <x:patternFill patternType="solid">
        <x:fgColor rgb="FFF2CC"/>
      </x:patternFill>
    </x:fill>
    <x:fill>
      <x:patternFill patternType="solid">
        <x:fgColor rgb="17365D"/>
      </x:patternFill>
    </x:fill>
    <x:fill>
      <x:patternFill patternType="solid">
        <x:fgColor rgb="EAF2F8"/>
      </x:patternFill>
    </x:fill>
    <x:fill>
      <x:patternFill patternType="solid">
        <x:fgColor rgb="F2F2F2"/>
      </x:patternFill>
    </x:fill>
    <x:fill>
      <x:patternFill patternType="solid">
        <x:fgColor rgb="FCE4D6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right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right"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right" vertical="top" wrapText="1"/>
    </x:xf>
    <x:xf numFmtId="200" fontId="3" fillId="4" borderId="0" xfId="0" applyNumberFormat="1" applyFont="1" applyFill="1" applyBorder="1" applyAlignment="1">
      <x:alignment horizontal="right" vertical="top" wrapText="1"/>
    </x:xf>
    <x:xf numFmtId="200" fontId="3" fillId="4" borderId="1" xfId="0" applyNumberFormat="1" applyFont="1" applyFill="1" applyBorder="1" applyAlignment="1">
      <x:alignment horizontal="right" vertical="top" wrapText="1"/>
    </x:xf>
    <x:xf numFmtId="200" fontId="4" fillId="0" borderId="0" xfId="0" applyNumberFormat="1" applyFont="1" applyFill="1" applyBorder="1" applyAlignment="1">
      <x:alignment horizontal="right" vertical="top" wrapText="1"/>
    </x:xf>
    <x:xf numFmtId="200" fontId="4" fillId="0" borderId="1" xfId="0" applyNumberFormat="1" applyFont="1" applyFill="1" applyBorder="1" applyAlignment="1">
      <x:alignment horizontal="right" vertical="top" wrapText="1"/>
    </x:xf>
    <x:xf numFmtId="201" fontId="4" fillId="0" borderId="0" xfId="0" applyNumberFormat="1" applyFont="1" applyFill="1" applyBorder="1" applyAlignment="1">
      <x:alignment horizontal="right" vertical="top" wrapText="1"/>
    </x:xf>
    <x:xf numFmtId="201" fontId="4" fillId="0" borderId="1" xfId="0" applyNumberFormat="1" applyFont="1" applyFill="1" applyBorder="1" applyAlignment="1">
      <x:alignment horizontal="right" vertical="top" wrapText="1"/>
    </x:xf>
    <x:xf numFmtId="202" fontId="3" fillId="4" borderId="0" xfId="0" applyNumberFormat="1" applyFont="1" applyFill="1" applyBorder="1" applyAlignment="1">
      <x:alignment horizontal="right" vertical="top" wrapText="1"/>
    </x:xf>
    <x:xf numFmtId="202" fontId="3" fillId="4" borderId="1" xfId="0" applyNumberFormat="1" applyFont="1" applyFill="1" applyBorder="1" applyAlignment="1">
      <x:alignment horizontal="right" vertical="top" wrapText="1"/>
    </x:xf>
    <x:xf numFmtId="203" fontId="3" fillId="4" borderId="0" xfId="0" applyNumberFormat="1" applyFont="1" applyFill="1" applyBorder="1" applyAlignment="1">
      <x:alignment horizontal="right" vertical="top" wrapText="1"/>
    </x:xf>
    <x:xf numFmtId="203" fontId="3" fillId="4" borderId="1" xfId="0" applyNumberFormat="1" applyFont="1" applyFill="1" applyBorder="1" applyAlignment="1">
      <x:alignment horizontal="right" vertical="top" wrapText="1"/>
    </x:xf>
    <x:xf numFmtId="201" fontId="3" fillId="4" borderId="0" xfId="0" applyNumberFormat="1" applyFont="1" applyFill="1" applyBorder="1" applyAlignment="1">
      <x:alignment horizontal="right" vertical="top" wrapText="1"/>
    </x:xf>
    <x:xf numFmtId="201" fontId="3" fillId="4" borderId="1" xfId="0" applyNumberFormat="1" applyFont="1" applyFill="1" applyBorder="1" applyAlignment="1">
      <x:alignment horizontal="right"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right"/>
    </x:xf>
    <x:xf numFmtId="202" fontId="3" fillId="4" borderId="0" xfId="0" applyNumberFormat="1" applyFont="1" applyFill="1" applyBorder="1" applyAlignment="1">
      <x:alignment horizontal="right"/>
    </x:xf>
    <x:xf numFmtId="202" fontId="3" fillId="4" borderId="1" xfId="0" applyNumberFormat="1" applyFont="1" applyFill="1" applyBorder="1" applyAlignment="1">
      <x:alignment horizontal="right"/>
    </x:xf>
    <x:xf numFmtId="203" fontId="3" fillId="4" borderId="0" xfId="0" applyNumberFormat="1" applyFont="1" applyFill="1" applyBorder="1" applyAlignment="1">
      <x:alignment horizontal="right"/>
    </x:xf>
    <x:xf numFmtId="203" fontId="3" fillId="4" borderId="1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/>
    </x:xf>
    <x:xf numFmtId="200" fontId="4" fillId="0" borderId="1" xfId="0" applyNumberFormat="1" applyFont="1" applyFill="1" applyBorder="1" applyAlignment="1">
      <x:alignment horizontal="right"/>
    </x:xf>
    <x:xf numFmtId="204" fontId="4" fillId="0" borderId="0" xfId="0" applyNumberFormat="1" applyFont="1" applyFill="1" applyBorder="1" applyAlignment="1">
      <x:alignment horizontal="right"/>
    </x:xf>
    <x:xf numFmtId="204" fontId="4" fillId="0" borderId="1" xfId="0" applyNumberFormat="1" applyFont="1" applyFill="1" applyBorder="1" applyAlignment="1">
      <x:alignment horizontal="right"/>
    </x:xf>
    <x:xf numFmtId="202" fontId="4" fillId="0" borderId="0" xfId="0" applyNumberFormat="1" applyFont="1" applyFill="1" applyBorder="1" applyAlignment="1">
      <x:alignment horizontal="right"/>
    </x:xf>
    <x:xf numFmtId="202" fontId="4" fillId="0" borderId="1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left"/>
    </x:xf>
    <x:xf numFmtId="0" fontId="2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left"/>
    </x:xf>
    <x:xf numFmtId="0" fontId="2" fillId="5" borderId="1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right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right"/>
    </x:xf>
    <x:xf numFmtId="200" fontId="0" fillId="0" borderId="0" xfId="0" applyNumberFormat="1" applyFont="1" applyFill="1" applyBorder="1"/>
    <x:xf numFmtId="200" fontId="5" fillId="6" borderId="0" xfId="0" applyNumberFormat="1" applyFont="1" applyFill="1" applyBorder="1" applyAlignment="1">
      <x:alignment horizontal="right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/>
    <x:xf numFmtId="202" fontId="5" fillId="6" borderId="0" xfId="0" applyNumberFormat="1" applyFont="1" applyFill="1" applyBorder="1" applyAlignment="1">
      <x:alignment horizontal="right"/>
    </x:xf>
    <x:xf numFmtId="202" fontId="0" fillId="0" borderId="1" xfId="0" applyNumberFormat="1" applyFont="1" applyFill="1" applyBorder="1"/>
    <x:xf numFmtId="202" fontId="5" fillId="6" borderId="1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1" fontId="5" fillId="6" borderId="0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/>
    <x:xf numFmtId="201" fontId="5" fillId="6" borderId="1" xfId="0" applyNumberFormat="1" applyFont="1" applyFill="1" applyBorder="1" applyAlignment="1">
      <x:alignment horizontal="right"/>
    </x:xf>
    <x:xf numFmtId="204" fontId="0" fillId="0" borderId="0" xfId="0" applyNumberFormat="1" applyFont="1" applyFill="1" applyBorder="1"/>
    <x:xf numFmtId="204" fontId="5" fillId="6" borderId="0" xfId="0" applyNumberFormat="1" applyFont="1" applyFill="1" applyBorder="1" applyAlignment="1">
      <x:alignment horizontal="right"/>
    </x:xf>
    <x:xf numFmtId="204" fontId="0" fillId="0" borderId="1" xfId="0" applyNumberFormat="1" applyFont="1" applyFill="1" applyBorder="1"/>
    <x:xf numFmtId="204" fontId="5" fillId="6" borderId="1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4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4" fontId="0" fillId="0" borderId="1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right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horizontal="right"/>
    </x:xf>
    <x:xf numFmtId="202" fontId="7" fillId="0" borderId="0" xfId="0" applyNumberFormat="1" applyFont="1" applyFill="1" applyBorder="1" applyAlignment="1">
      <x:alignment horizontal="right"/>
    </x:xf>
    <x:xf numFmtId="202" fontId="7" fillId="0" borderId="1" xfId="0" applyNumberFormat="1" applyFont="1" applyFill="1" applyBorder="1" applyAlignment="1">
      <x:alignment horizontal="right"/>
    </x:xf>
    <x:xf numFmtId="204" fontId="7" fillId="0" borderId="0" xfId="0" applyNumberFormat="1" applyFont="1" applyFill="1" applyBorder="1" applyAlignment="1">
      <x:alignment horizontal="right"/>
    </x:xf>
    <x:xf numFmtId="204" fontId="7" fillId="0" borderId="1" xfId="0" applyNumberFormat="1" applyFont="1" applyFill="1" applyBorder="1" applyAlignment="1">
      <x:alignment horizontal="right"/>
    </x:xf>
    <x:xf numFmtId="201" fontId="7" fillId="0" borderId="0" xfId="0" applyNumberFormat="1" applyFont="1" applyFill="1" applyBorder="1" applyAlignment="1">
      <x:alignment horizontal="right"/>
    </x:xf>
    <x:xf numFmtId="201" fontId="7" fillId="0" borderId="1" xfId="0" applyNumberFormat="1" applyFont="1" applyFill="1" applyBorder="1" applyAlignment="1">
      <x:alignment horizontal="right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right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horizontal="right" vertical="center" wrapText="1"/>
    </x:xf>
    <x:xf numFmtId="203" fontId="8" fillId="4" borderId="0" xfId="0" applyNumberFormat="1" applyFont="1" applyFill="1" applyBorder="1" applyAlignment="1">
      <x:alignment horizontal="right" vertical="center" wrapText="1"/>
    </x:xf>
    <x:xf numFmtId="203" fontId="8" fillId="4" borderId="1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horizontal="right"/>
    </x:xf>
    <x:xf numFmtId="200" fontId="7" fillId="0" borderId="1" xfId="0" applyNumberFormat="1" applyFont="1" applyFill="1" applyBorder="1" applyAlignment="1">
      <x:alignment horizontal="right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9" fillId="8" borderId="1" xfId="0" applyNumberFormat="1" applyFont="1" applyFill="1" applyBorder="1" applyAlignment="1">
      <x:alignment vertical="top" wrapText="1"/>
    </x:xf>
    <x:xf numFmtId="203" fontId="7" fillId="0" borderId="0" xfId="0" applyNumberFormat="1" applyFont="1" applyFill="1" applyBorder="1" applyAlignment="1">
      <x:alignment horizontal="right"/>
    </x:xf>
    <x:xf numFmtId="203" fontId="7" fillId="0" borderId="1" xfId="0" applyNumberFormat="1" applyFont="1" applyFill="1" applyBorder="1" applyAlignment="1">
      <x:alignment horizontal="right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left" vertical="top"/>
    </x:xf>
    <x:xf numFmtId="200" fontId="7" fillId="0" borderId="0" xfId="0" applyNumberFormat="1" applyFont="1" applyFill="1" applyBorder="1" applyAlignment="1">
      <x:alignment horizontal="right" vertical="top"/>
    </x:xf>
    <x:xf numFmtId="0" fontId="10" fillId="9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horizontal="right" vertical="top"/>
    </x:xf>
    <x:xf numFmtId="203" fontId="7" fillId="0" borderId="0" xfId="0" applyNumberFormat="1" applyFont="1" applyFill="1" applyBorder="1" applyAlignment="1">
      <x:alignment horizontal="right" vertical="top"/>
    </x:xf>
    <x:xf numFmtId="202" fontId="7" fillId="0" borderId="0" xfId="0" applyNumberFormat="1" applyFont="1" applyFill="1" applyBorder="1" applyAlignment="1">
      <x:alignment horizontal="right" vertical="top"/>
    </x:xf>
    <x:xf numFmtId="204" fontId="7" fillId="0" borderId="0" xfId="0" applyNumberFormat="1" applyFont="1" applyFill="1" applyBorder="1" applyAlignment="1">
      <x:alignment horizontal="right" vertical="top"/>
    </x:xf>
    <x:xf numFmtId="0" fontId="1" fillId="2" borderId="1" xfId="0" applyNumberFormat="1" applyFont="1" applyFill="1" applyBorder="1" applyAlignment="1">
      <x:alignment horizontal="center"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left" vertical="top"/>
    </x:xf>
    <x:xf numFmtId="200" fontId="7" fillId="0" borderId="1" xfId="0" applyNumberFormat="1" applyFont="1" applyFill="1" applyBorder="1" applyAlignment="1">
      <x:alignment horizontal="right" vertical="top"/>
    </x:xf>
    <x:xf numFmtId="0" fontId="10" fillId="9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horizontal="right" vertical="top"/>
    </x:xf>
    <x:xf numFmtId="203" fontId="7" fillId="0" borderId="1" xfId="0" applyNumberFormat="1" applyFont="1" applyFill="1" applyBorder="1" applyAlignment="1">
      <x:alignment horizontal="right" vertical="top"/>
    </x:xf>
    <x:xf numFmtId="202" fontId="7" fillId="0" borderId="1" xfId="0" applyNumberFormat="1" applyFont="1" applyFill="1" applyBorder="1" applyAlignment="1">
      <x:alignment horizontal="right" vertical="top"/>
    </x:xf>
    <x:xf numFmtId="204" fontId="7" fillId="0" borderId="1" xfId="0" applyNumberFormat="1" applyFont="1" applyFill="1" applyBorder="1" applyAlignment="1">
      <x:alignment horizontal="right" vertical="top"/>
    </x:xf>
    <x:xf numFmtId="202" fontId="3" fillId="4" borderId="0" xfId="0" applyNumberFormat="1" applyFont="1" applyFill="1" applyBorder="1" applyAlignment="1">
      <x:alignment horizontal="right" vertical="top"/>
    </x:xf>
    <x:xf numFmtId="203" fontId="3" fillId="4" borderId="0" xfId="0" applyNumberFormat="1" applyFont="1" applyFill="1" applyBorder="1" applyAlignment="1">
      <x:alignment horizontal="right" vertical="top"/>
    </x:xf>
    <x:xf numFmtId="202" fontId="3" fillId="4" borderId="1" xfId="0" applyNumberFormat="1" applyFont="1" applyFill="1" applyBorder="1" applyAlignment="1">
      <x:alignment horizontal="right" vertical="top"/>
    </x:xf>
    <x:xf numFmtId="203" fontId="3" fillId="4" borderId="1" xfId="0" applyNumberFormat="1" applyFont="1" applyFill="1" applyBorder="1" applyAlignment="1">
      <x:alignment horizontal="right" vertical="top"/>
    </x:xf>
    <x:xf numFmtId="200" fontId="4" fillId="0" borderId="0" xfId="0" applyNumberFormat="1" applyFont="1" applyFill="1" applyBorder="1" applyAlignment="1">
      <x:alignment horizontal="right" vertical="top"/>
    </x:xf>
    <x:xf numFmtId="204" fontId="4" fillId="0" borderId="0" xfId="0" applyNumberFormat="1" applyFont="1" applyFill="1" applyBorder="1" applyAlignment="1">
      <x:alignment horizontal="right" vertical="top"/>
    </x:xf>
    <x:xf numFmtId="202" fontId="4" fillId="0" borderId="0" xfId="0" applyNumberFormat="1" applyFont="1" applyFill="1" applyBorder="1" applyAlignment="1">
      <x:alignment horizontal="right" vertical="top"/>
    </x:xf>
    <x:xf numFmtId="0" fontId="5" fillId="6" borderId="0" xfId="0" applyNumberFormat="1" applyFont="1" applyFill="1" applyBorder="1" applyAlignment="1">
      <x:alignment horizontal="right" vertical="top"/>
    </x:xf>
    <x:xf numFmtId="200" fontId="5" fillId="6" borderId="0" xfId="0" applyNumberFormat="1" applyFont="1" applyFill="1" applyBorder="1" applyAlignment="1">
      <x:alignment horizontal="right" vertical="top"/>
    </x:xf>
    <x:xf numFmtId="202" fontId="5" fillId="6" borderId="0" xfId="0" applyNumberFormat="1" applyFont="1" applyFill="1" applyBorder="1" applyAlignment="1">
      <x:alignment horizontal="right" vertical="top"/>
    </x:xf>
    <x:xf numFmtId="201" fontId="5" fillId="6" borderId="0" xfId="0" applyNumberFormat="1" applyFont="1" applyFill="1" applyBorder="1" applyAlignment="1">
      <x:alignment horizontal="right" vertical="top"/>
    </x:xf>
    <x:xf numFmtId="204" fontId="5" fillId="6" borderId="0" xfId="0" applyNumberFormat="1" applyFont="1" applyFill="1" applyBorder="1" applyAlignment="1">
      <x:alignment horizontal="right" vertical="top"/>
    </x:xf>
    <x:xf numFmtId="0" fontId="6" fillId="7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horizontal="right" vertical="top"/>
    </x:xf>
    <x:xf numFmtId="204" fontId="4" fillId="0" borderId="1" xfId="0" applyNumberFormat="1" applyFont="1" applyFill="1" applyBorder="1" applyAlignment="1">
      <x:alignment horizontal="right" vertical="top"/>
    </x:xf>
    <x:xf numFmtId="202" fontId="4" fillId="0" borderId="1" xfId="0" applyNumberFormat="1" applyFont="1" applyFill="1" applyBorder="1" applyAlignment="1">
      <x:alignment horizontal="right" vertical="top"/>
    </x:xf>
    <x:xf numFmtId="0" fontId="5" fillId="6" borderId="1" xfId="0" applyNumberFormat="1" applyFont="1" applyFill="1" applyBorder="1" applyAlignment="1">
      <x:alignment horizontal="right" vertical="top"/>
    </x:xf>
    <x:xf numFmtId="200" fontId="5" fillId="6" borderId="1" xfId="0" applyNumberFormat="1" applyFont="1" applyFill="1" applyBorder="1" applyAlignment="1">
      <x:alignment horizontal="right" vertical="top"/>
    </x:xf>
    <x:xf numFmtId="202" fontId="5" fillId="6" borderId="1" xfId="0" applyNumberFormat="1" applyFont="1" applyFill="1" applyBorder="1" applyAlignment="1">
      <x:alignment horizontal="right" vertical="top"/>
    </x:xf>
    <x:xf numFmtId="201" fontId="5" fillId="6" borderId="1" xfId="0" applyNumberFormat="1" applyFont="1" applyFill="1" applyBorder="1" applyAlignment="1">
      <x:alignment horizontal="right" vertical="top"/>
    </x:xf>
    <x:xf numFmtId="204" fontId="5" fillId="6" borderId="1" xfId="0" applyNumberFormat="1" applyFont="1" applyFill="1" applyBorder="1" applyAlignment="1">
      <x:alignment horizontal="right" vertical="top"/>
    </x:xf>
    <x:xf numFmtId="0" fontId="6" fillId="7" borderId="1" xfId="0" applyNumberFormat="1" applyFont="1" applyFill="1" applyBorder="1" applyAlignment="1">
      <x:alignment vertical="top" wrapText="1"/>
    </x:xf>
    <x:xf numFmtId="203" fontId="8" fillId="4" borderId="0" xfId="0" applyNumberFormat="1" applyFont="1" applyFill="1" applyBorder="1" applyAlignment="1">
      <x:alignment horizontal="right" vertical="top" wrapText="1"/>
    </x:xf>
    <x:xf numFmtId="203" fontId="8" fillId="4" borderId="1" xfId="0" applyNumberFormat="1" applyFont="1" applyFill="1" applyBorder="1" applyAlignment="1">
      <x:alignment horizontal="right" vertical="top" wrapText="1"/>
    </x:xf>
    <x:xf numFmtId="205" fontId="0" fillId="0" borderId="0" xfId="0" applyNumberFormat="1" applyFont="1" applyFill="1" applyBorder="1" applyAlignment="1">
      <x:alignment vertical="top"/>
    </x:xf>
    <x:xf numFmtId="205" fontId="0" fillId="0" borderId="1" xfId="0" applyNumberFormat="1" applyFont="1" applyFill="1" applyBorder="1" applyAlignment="1">
      <x:alignment vertical="top"/>
    </x:xf>
    <x:xf numFmtId="206" fontId="3" fillId="4" borderId="0" xfId="0" applyNumberFormat="1" applyFont="1" applyFill="1" applyBorder="1" applyAlignment="1">
      <x:alignment horizontal="right" vertical="top" wrapText="1"/>
    </x:xf>
    <x:xf numFmtId="206" fontId="3" fillId="4" borderId="1" xfId="0" applyNumberFormat="1" applyFont="1" applyFill="1" applyBorder="1" applyAlignment="1">
      <x:alignment horizontal="right" vertical="top" wrapText="1"/>
    </x:xf>
    <x:xf numFmtId="206" fontId="4" fillId="0" borderId="0" xfId="0" applyNumberFormat="1" applyFont="1" applyFill="1" applyBorder="1" applyAlignment="1">
      <x:alignment horizontal="right" vertical="top" wrapText="1"/>
    </x:xf>
    <x:xf numFmtId="206" fontId="4" fillId="0" borderId="1" xfId="0" applyNumberFormat="1" applyFont="1" applyFill="1" applyBorder="1" applyAlignment="1">
      <x:alignment horizontal="right" vertical="top" wrapText="1"/>
    </x:xf>
    <x:xf numFmtId="206" fontId="7" fillId="0" borderId="0" xfId="0" applyNumberFormat="1" applyFont="1" applyFill="1" applyBorder="1" applyAlignment="1">
      <x:alignment horizontal="right" vertical="top"/>
    </x:xf>
    <x:xf numFmtId="206" fontId="7" fillId="0" borderId="1" xfId="0" applyNumberFormat="1" applyFont="1" applyFill="1" applyBorder="1" applyAlignment="1">
      <x:alignment horizontal="right" vertical="top"/>
    </x:xf>
    <x:xf numFmtId="206" fontId="0" fillId="0" borderId="0" xfId="0" applyNumberFormat="1" applyFont="1" applyFill="1" applyBorder="1" applyAlignment="1">
      <x:alignment vertical="top" wrapText="1"/>
    </x:xf>
    <x:xf numFmtId="206" fontId="0" fillId="0" borderId="1" xfId="0" applyNumberFormat="1" applyFont="1" applyFill="1" applyBorder="1" applyAlignment="1">
      <x:alignment vertical="top" wrapText="1"/>
    </x:xf>
    <x:xf numFmtId="206" fontId="4" fillId="0" borderId="0" xfId="0" applyNumberFormat="1" applyFont="1" applyFill="1" applyBorder="1" applyAlignment="1">
      <x:alignment horizontal="right" vertical="top"/>
    </x:xf>
    <x:xf numFmtId="206" fontId="4" fillId="0" borderId="1" xfId="0" applyNumberFormat="1" applyFont="1" applyFill="1" applyBorder="1" applyAlignment="1">
      <x:alignment horizontal="right" vertical="top"/>
    </x:xf>
    <x:xf numFmtId="207" fontId="4" fillId="0" borderId="0" xfId="0" applyNumberFormat="1" applyFont="1" applyFill="1" applyBorder="1" applyAlignment="1">
      <x:alignment horizontal="right" vertical="top"/>
    </x:xf>
    <x:xf numFmtId="207" fontId="4" fillId="0" borderId="1" xfId="0" applyNumberFormat="1" applyFont="1" applyFill="1" applyBorder="1" applyAlignment="1">
      <x:alignment horizontal="right" vertical="top"/>
    </x:xf>
    <x:xf numFmtId="206" fontId="0" fillId="0" borderId="0" xfId="0" applyNumberFormat="1" applyFont="1" applyFill="1" applyBorder="1" applyAlignment="1">
      <x:alignment vertical="top"/>
    </x:xf>
    <x:xf numFmtId="206" fontId="5" fillId="6" borderId="0" xfId="0" applyNumberFormat="1" applyFont="1" applyFill="1" applyBorder="1" applyAlignment="1">
      <x:alignment horizontal="right" vertical="top"/>
    </x:xf>
    <x:xf numFmtId="206" fontId="0" fillId="0" borderId="1" xfId="0" applyNumberFormat="1" applyFont="1" applyFill="1" applyBorder="1" applyAlignment="1">
      <x:alignment vertical="top"/>
    </x:xf>
    <x:xf numFmtId="206" fontId="5" fillId="6" borderId="1" xfId="0" applyNumberFormat="1" applyFont="1" applyFill="1" applyBorder="1" applyAlignment="1">
      <x:alignment horizontal="right" vertical="top"/>
    </x:xf>
    <x:xf numFmtId="207" fontId="0" fillId="0" borderId="0" xfId="0" applyNumberFormat="1" applyFont="1" applyFill="1" applyBorder="1" applyAlignment="1">
      <x:alignment vertical="top"/>
    </x:xf>
    <x:xf numFmtId="207" fontId="5" fillId="6" borderId="0" xfId="0" applyNumberFormat="1" applyFont="1" applyFill="1" applyBorder="1" applyAlignment="1">
      <x:alignment horizontal="right" vertical="top"/>
    </x:xf>
    <x:xf numFmtId="207" fontId="0" fillId="0" borderId="1" xfId="0" applyNumberFormat="1" applyFont="1" applyFill="1" applyBorder="1" applyAlignment="1">
      <x:alignment vertical="top"/>
    </x:xf>
    <x:xf numFmtId="207" fontId="5" fillId="6" borderId="1" xfId="0" applyNumberFormat="1" applyFont="1" applyFill="1" applyBorder="1" applyAlignment="1">
      <x:alignment horizontal="right" vertical="top"/>
    </x:xf>
    <x:xf numFmtId="207" fontId="7" fillId="0" borderId="0" xfId="0" applyNumberFormat="1" applyFont="1" applyFill="1" applyBorder="1" applyAlignment="1">
      <x:alignment horizontal="right" vertical="top"/>
    </x:xf>
    <x:xf numFmtId="207" fontId="7" fillId="0" borderId="1" xfId="0" applyNumberFormat="1" applyFont="1" applyFill="1" applyBorder="1" applyAlignment="1">
      <x:alignment horizontal="right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fe997e0084d7e" /><Relationship Type="http://schemas.openxmlformats.org/officeDocument/2006/relationships/theme" Target="/xl/theme/theme1.xml" Id="R7c9fed8e46d647dd" /><Relationship Type="http://schemas.openxmlformats.org/officeDocument/2006/relationships/sharedStrings" Target="/xl/sharedStrings.xml" Id="R4d16293ff20f45ca" /><Relationship Type="http://schemas.openxmlformats.org/officeDocument/2006/relationships/worksheet" Target="/xl/worksheets/sheet1.xml" Id="R1c8af2f7b18d4c7a" /><Relationship Type="http://schemas.openxmlformats.org/officeDocument/2006/relationships/worksheet" Target="/xl/worksheets/sheet2.xml" Id="Re13437398e444588" /><Relationship Type="http://schemas.openxmlformats.org/officeDocument/2006/relationships/worksheet" Target="/xl/worksheets/sheet3.xml" Id="Raaffa24334894567" /><Relationship Type="http://schemas.openxmlformats.org/officeDocument/2006/relationships/worksheet" Target="/xl/worksheets/sheet4.xml" Id="R6c817458fd124c90" /><Relationship Type="http://schemas.openxmlformats.org/officeDocument/2006/relationships/worksheet" Target="/xl/worksheets/sheet5.xml" Id="Rcc544cf7083d4c18" /><Relationship Type="http://schemas.openxmlformats.org/officeDocument/2006/relationships/worksheet" Target="/xl/worksheets/sheet6.xml" Id="Reb1a1f874ced476d" /><Relationship Type="http://schemas.openxmlformats.org/officeDocument/2006/relationships/worksheet" Target="/xl/worksheets/sheet7.xml" Id="R0d73b0458ec34aec" /><Relationship Type="http://schemas.openxmlformats.org/officeDocument/2006/relationships/worksheet" Target="/xl/worksheets/sheet8.xml" Id="Rfcb9fc6fdb614c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86b7d2240a44d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Dividendos 10a</c:v>
          </c:tx>
          <c:cat>
            <c:strRef>
              <c:f>'Resumo'!$A$21:$A$23</c:f>
              <c:strCache>
                <c:ptCount val="0"/>
              </c:strCache>
            </c:strRef>
          </c:cat>
          <c:val>
            <c:numRef>
              <c:f>'Resumo'!$E$21:$E$23</c:f>
              <c:numCache>
                <c:formatCode>R$ #,##0</c:formatCode>
                <c:ptCount val="0"/>
              </c:numCache>
            </c:numRef>
          </c:val>
        </c:ser>
        <c:ser>
          <c:idx val="1"/>
          <c:order val="1"/>
          <c:tx>
            <c:v>Valor final</c:v>
          </c:tx>
          <c:cat>
            <c:strRef>
              <c:f>'Resumo'!$A$21:$A$23</c:f>
              <c:strCache>
                <c:ptCount val="0"/>
              </c:strCache>
            </c:strRef>
          </c:cat>
          <c:val>
            <c:numRef>
              <c:f>'Resumo'!$F$21:$F$23</c:f>
              <c:numCache>
                <c:formatCode>R$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R$ #,##0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25</xdr:row>
      <xdr:rowOff>0</xdr:rowOff>
    </xdr:from>
    <xdr:to>
      <xdr:col>13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86b7d2240a44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6" name="KpiTable" displayName="KpiTable" ref="A3:C15" headerRowCount="1">
  <x:tableColumns count="3">
    <x:tableColumn id="1" name="Métrica"/>
    <x:tableColumn id="2" name="Valor"/>
    <x:tableColumn id="3" name="Leitura"/>
  </x:tableColumns>
  <x:tableStyleInfo name="TableStyleMedium2" showRowStripes="1"/>
</x:table>
</file>

<file path=xl/tables/table2.xml><?xml version="1.0" encoding="utf-8"?>
<x:table xmlns:x="http://schemas.openxmlformats.org/spreadsheetml/2006/main" id="17" name="ResumoCenarios" displayName="ResumoCenarios" ref="A20:I23" headerRowCount="1">
  <x:tableColumns count="9">
    <x:tableColumn id="1" name="Cenário"/>
    <x:tableColumn id="2" name="ROE"/>
    <x:tableColumn id="3" name="Payout"/>
    <x:tableColumn id="4" name="P/VP saída"/>
    <x:tableColumn id="5" name="Dividendos 10a"/>
    <x:tableColumn id="6" name="Valor final"/>
    <x:tableColumn id="7" name="Retorno total"/>
    <x:tableColumn id="8" name="CAGR"/>
    <x:tableColumn id="9" name="Comentário"/>
  </x:tableColumns>
  <x:tableStyleInfo name="TableStyleMedium2" showRowStripes="1"/>
</x:table>
</file>

<file path=xl/tables/table3.xml><?xml version="1.0" encoding="utf-8"?>
<x:table xmlns:x="http://schemas.openxmlformats.org/spreadsheetml/2006/main" id="18" name="RiskChecklist" displayName="RiskChecklist" ref="A26:B31" headerRowCount="1">
  <x:tableColumns count="2">
    <x:tableColumn id="1" name="Checklist antes de comprar"/>
    <x:tableColumn id="2" name="O que observar"/>
  </x:tableColumns>
  <x:tableStyleInfo name="TableStyleMedium2" showRowStripes="1"/>
</x:table>
</file>

<file path=xl/tables/table4.xml><?xml version="1.0" encoding="utf-8"?>
<x:table xmlns:x="http://schemas.openxmlformats.org/spreadsheetml/2006/main" id="1" name="InputsTable" displayName="InputsTable" ref="A3:F22" headerRowCount="1">
  <x:tableColumns count="6">
    <x:tableColumn id="1" name="Item"/>
    <x:tableColumn id="2" name="Valor"/>
    <x:tableColumn id="3" name="Unidade"/>
    <x:tableColumn id="4" name="Tipo"/>
    <x:tableColumn id="5" name="Fonte / nota"/>
    <x:tableColumn id="6" name="URL"/>
  </x:tableColumns>
  <x:tableStyleInfo name="TableStyleMedium2" showRowStripes="1"/>
</x:table>
</file>

<file path=xl/tables/table5.xml><?xml version="1.0" encoding="utf-8"?>
<x:table xmlns:x="http://schemas.openxmlformats.org/spreadsheetml/2006/main" id="2" name="ScenarioInputsTable" displayName="ScenarioInputsTable" ref="A25:E28" headerRowCount="1">
  <x:tableColumns count="5">
    <x:tableColumn id="1" name="Cenário"/>
    <x:tableColumn id="2" name="ROE sustentável"/>
    <x:tableColumn id="3" name="Payout"/>
    <x:tableColumn id="4" name="P/VP de saída"/>
    <x:tableColumn id="5" name="Racional"/>
  </x:tableColumns>
  <x:tableStyleInfo name="TableStyleMedium2" showRowStripes="1"/>
</x:table>
</file>

<file path=xl/tables/table6.xml><?xml version="1.0" encoding="utf-8"?>
<x:table xmlns:x="http://schemas.openxmlformats.org/spreadsheetml/2006/main" id="5" name="HistoricoTable" displayName="HistoricoTable" ref="A3:O14" headerRowCount="1">
  <x:tableColumns count="15">
    <x:tableColumn id="1" name="Ano"/>
    <x:tableColumn id="2" name="Base"/>
    <x:tableColumn id="3" name="Preço / cotação (R$/ação)"/>
    <x:tableColumn id="4" name="DPA calendário (R$/ação)"/>
    <x:tableColumn id="5" name="DY calendário"/>
    <x:tableColumn id="6" name="LPA (R$/ação)"/>
    <x:tableColumn id="7" name="VPA (R$/ação)"/>
    <x:tableColumn id="8" name="ROE"/>
    <x:tableColumn id="9" name="P/L"/>
    <x:tableColumn id="10" name="P/VP"/>
    <x:tableColumn id="11" name="Lucro líquido (R$ bi)"/>
    <x:tableColumn id="12" name="Patrimônio líquido (R$ bi)"/>
    <x:tableColumn id="13" name="Payout fiscal aprox."/>
    <x:tableColumn id="14" name="Fonte"/>
    <x:tableColumn id="15" name="Observações"/>
  </x:tableColumns>
  <x:tableStyleInfo name="TableStyleMedium2" showRowStripes="1"/>
</x:table>
</file>

<file path=xl/tables/table7.xml><?xml version="1.0" encoding="utf-8"?>
<x:table xmlns:x="http://schemas.openxmlformats.org/spreadsheetml/2006/main" id="6" name="HistoricalStats" displayName="HistoricalStats" ref="Q3:S8" headerRowCount="1">
  <x:tableColumns count="3">
    <x:tableColumn id="1" name="Métrica"/>
    <x:tableColumn id="2" name="Valor"/>
    <x:tableColumn id="3" name="Comentário"/>
  </x:tableColumns>
  <x:tableStyleInfo name="TableStyleMedium2" showRowStripes="1"/>
</x:table>
</file>

<file path=xl/tables/table8.xml><?xml version="1.0" encoding="utf-8"?>
<x:table xmlns:x="http://schemas.openxmlformats.org/spreadsheetml/2006/main" id="7" name="DividendStats" displayName="DividendStats" ref="A3:C7" headerRowCount="1">
  <x:tableColumns count="3">
    <x:tableColumn id="1" name="Métrica"/>
    <x:tableColumn id="2" name="Valor"/>
    <x:tableColumn id="3" name="Fórmula/nota"/>
  </x:tableColumns>
  <x:tableStyleInfo name="TableStyleMedium2" showRowStripes="1"/>
</x:table>
</file>

<file path=xl/tables/table9.xml><?xml version="1.0" encoding="utf-8"?>
<x:table xmlns:x="http://schemas.openxmlformats.org/spreadsheetml/2006/main" id="8" name="AnnualDividends" displayName="AnnualDividends" ref="A10:F21" headerRowCount="1">
  <x:tableColumns count="6">
    <x:tableColumn id="1" name="Ano"/>
    <x:tableColumn id="2" name="DPA calendário (R$/ação)"/>
    <x:tableColumn id="3" name="DY"/>
    <x:tableColumn id="4" name="Recebimento c/ 814 ações (R$)"/>
    <x:tableColumn id="5" name="Observação"/>
    <x:tableColumn id="6" name="Fonte URL"/>
  </x:tableColumns>
  <x:tableStyleInfo name="TableStyleMedium2" showRowStripes="1"/>
</x:table>
</file>

<file path=xl/tables/table10.xml><?xml version="1.0" encoding="utf-8"?>
<x:table xmlns:x="http://schemas.openxmlformats.org/spreadsheetml/2006/main" id="9" name="DividendEvents" displayName="DividendEvents" ref="A25:G46" headerRowCount="1">
  <x:tableColumns count="7">
    <x:tableColumn id="1" name="Tipo"/>
    <x:tableColumn id="2" name="Valor (R$/ação)"/>
    <x:tableColumn id="3" name="Data com"/>
    <x:tableColumn id="4" name="Data ex"/>
    <x:tableColumn id="5" name="Pagamento"/>
    <x:tableColumn id="6" name="Fonte URL"/>
    <x:tableColumn id="7" name="Observação"/>
  </x:tableColumns>
  <x:tableStyleInfo name="TableStyleMedium2" showRowStripes="1"/>
</x:table>
</file>

<file path=xl/tables/table11.xml><?xml version="1.0" encoding="utf-8"?>
<x:table xmlns:x="http://schemas.openxmlformats.org/spreadsheetml/2006/main" id="10" name="SplitEvents" displayName="SplitEvents" ref="A51:E53" headerRowCount="1">
  <x:tableColumns count="5">
    <x:tableColumn id="1" name="Data"/>
    <x:tableColumn id="2" name="Evento"/>
    <x:tableColumn id="3" name="Descrição"/>
    <x:tableColumn id="4" name="Proporção informada"/>
    <x:tableColumn id="5" name="Fonte URL"/>
  </x:tableColumns>
  <x:tableStyleInfo name="TableStyleMedium2" showRowStripes="1"/>
</x:table>
</file>

<file path=xl/tables/table12.xml><?xml version="1.0" encoding="utf-8"?>
<x:table xmlns:x="http://schemas.openxmlformats.org/spreadsheetml/2006/main" id="3" name="ValuationSummary" displayName="ValuationSummary" ref="A3:M6" headerRowCount="1">
  <x:tableColumns count="13">
    <x:tableColumn id="1" name="Cenário"/>
    <x:tableColumn id="2" name="ROE"/>
    <x:tableColumn id="3" name="Payout"/>
    <x:tableColumn id="4" name="P/VP saída"/>
    <x:tableColumn id="5" name="DPA total/ação"/>
    <x:tableColumn id="6" name="Dividendos totais (R$)"/>
    <x:tableColumn id="7" name="VPA ano 10"/>
    <x:tableColumn id="8" name="Preço saída"/>
    <x:tableColumn id="9" name="Valor final (R$)"/>
    <x:tableColumn id="10" name="Retorno total"/>
    <x:tableColumn id="11" name="CAGR"/>
    <x:tableColumn id="12" name="Dividendos/Capital"/>
    <x:tableColumn id="13" name="Valorização preço"/>
  </x:tableColumns>
  <x:tableStyleInfo name="TableStyleMedium2" showRowStripes="1"/>
</x:table>
</file>

<file path=xl/tables/table13.xml><?xml version="1.0" encoding="utf-8"?>
<x:table xmlns:x="http://schemas.openxmlformats.org/spreadsheetml/2006/main" id="4" name="SensitivityInputs" displayName="SensitivityInputs" ref="A3:C6" headerRowCount="1">
  <x:tableColumns count="3">
    <x:tableColumn id="1" name="Premissa fixa"/>
    <x:tableColumn id="2" name="Valor"/>
    <x:tableColumn id="3" name="Nota"/>
  </x:tableColumns>
  <x:tableStyleInfo name="TableStyleMedium2" showRowStripes="1"/>
</x:table>
</file>

<file path=xl/tables/table14.xml><?xml version="1.0" encoding="utf-8"?>
<x:table xmlns:x="http://schemas.openxmlformats.org/spreadsheetml/2006/main" id="11" name="BoomSummary" displayName="BoomSummary" ref="A3:B7" headerRowCount="1">
  <x:tableColumns count="2">
    <x:tableColumn id="1" name="Pergunta"/>
    <x:tableColumn id="2" name="Resposta resumida"/>
  </x:tableColumns>
  <x:tableStyleInfo name="TableStyleMedium2" showRowStripes="1"/>
</x:table>
</file>

<file path=xl/tables/table15.xml><?xml version="1.0" encoding="utf-8"?>
<x:table xmlns:x="http://schemas.openxmlformats.org/spreadsheetml/2006/main" id="12" name="BoomPriceTable" displayName="BoomPriceTable" ref="A10:F14" headerRowCount="1">
  <x:tableColumns count="6">
    <x:tableColumn id="1" name="Dia"/>
    <x:tableColumn id="2" name="Mínimo (R$)"/>
    <x:tableColumn id="3" name="Máximo (R$)"/>
    <x:tableColumn id="4" name="Último (R$)"/>
    <x:tableColumn id="5" name="Oscilação do dia"/>
    <x:tableColumn id="6" name="Fonte URL"/>
  </x:tableColumns>
  <x:tableStyleInfo name="TableStyleMedium2" showRowStripes="1"/>
</x:table>
</file>

<file path=xl/tables/table16.xml><?xml version="1.0" encoding="utf-8"?>
<x:table xmlns:x="http://schemas.openxmlformats.org/spreadsheetml/2006/main" id="13" name="BoomCalcs" displayName="BoomCalcs" ref="A17:C20" headerRowCount="1">
  <x:tableColumns count="3">
    <x:tableColumn id="1" name="Cálculo"/>
    <x:tableColumn id="2" name="Valor"/>
    <x:tableColumn id="3" name="Nota"/>
  </x:tableColumns>
  <x:tableStyleInfo name="TableStyleMedium2" showRowStripes="1"/>
</x:table>
</file>

<file path=xl/tables/table17.xml><?xml version="1.0" encoding="utf-8"?>
<x:table xmlns:x="http://schemas.openxmlformats.org/spreadsheetml/2006/main" id="14" name="SourcesTable" displayName="SourcesTable" ref="A3:E12" headerRowCount="1">
  <x:tableColumns count="5">
    <x:tableColumn id="1" name="Fonte"/>
    <x:tableColumn id="2" name="URL"/>
    <x:tableColumn id="3" name="Uso no modelo"/>
    <x:tableColumn id="4" name="Observações"/>
    <x:tableColumn id="5" name="Data de consulta"/>
  </x:tableColumns>
  <x:tableStyleInfo name="TableStyleMedium2" showRowStripes="1"/>
</x:table>
</file>

<file path=xl/tables/table18.xml><?xml version="1.0" encoding="utf-8"?>
<x:table xmlns:x="http://schemas.openxmlformats.org/spreadsheetml/2006/main" id="15" name="LimitationsTable" displayName="LimitationsTable" ref="A16:B22" headerRowCount="1">
  <x:tableColumns count="2">
    <x:tableColumn id="1" name="Limitação / cuidado"/>
    <x:tableColumn id="2" name="Impac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f932c5156940b6" /><Relationship Type="http://schemas.openxmlformats.org/officeDocument/2006/relationships/table" Target="/xl/tables/table1.xml" Id="Rb6cfafea084a4de6" /><Relationship Type="http://schemas.openxmlformats.org/officeDocument/2006/relationships/table" Target="/xl/tables/table2.xml" Id="Rb1fb80c38a1b4acd" /><Relationship Type="http://schemas.openxmlformats.org/officeDocument/2006/relationships/table" Target="/xl/tables/table3.xml" Id="Ra7bd75c9467a412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e6caf21678ed4a37" /><Relationship Type="http://schemas.openxmlformats.org/officeDocument/2006/relationships/table" Target="/xl/tables/table5.xml" Id="Rad70055c27724e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26a80d8cd7674523" /><Relationship Type="http://schemas.openxmlformats.org/officeDocument/2006/relationships/table" Target="/xl/tables/table7.xml" Id="Re5207cef833f49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8fb212d5c8c849c7" /><Relationship Type="http://schemas.openxmlformats.org/officeDocument/2006/relationships/table" Target="/xl/tables/table9.xml" Id="R714c534571944e93" /><Relationship Type="http://schemas.openxmlformats.org/officeDocument/2006/relationships/table" Target="/xl/tables/table10.xml" Id="R2f76d60581a34ce5" /><Relationship Type="http://schemas.openxmlformats.org/officeDocument/2006/relationships/table" Target="/xl/tables/table11.xml" Id="R33ffa613735447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2.xml" Id="Rd34217ab1bc646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3.xml" Id="Raf3b843bf24e46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4.xml" Id="R0bb6cbc49b5945d8" /><Relationship Type="http://schemas.openxmlformats.org/officeDocument/2006/relationships/table" Target="/xl/tables/table15.xml" Id="R67cbf69fa62f4dbd" /><Relationship Type="http://schemas.openxmlformats.org/officeDocument/2006/relationships/table" Target="/xl/tables/table16.xml" Id="R5f11b0fe8aa444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7.xml" Id="Rfee4c22bfec14324" /><Relationship Type="http://schemas.openxmlformats.org/officeDocument/2006/relationships/table" Target="/xl/tables/table18.xml" Id="Rbab2dd7caf1a45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</x:cols>
  <x:sheetData>
    <x:row r="1">
      <x:c r="A1" s="164" t="str">
        <x:v>BAZA3 — Análise fundamentalista e valuation (13/06/2026)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  <x:c r="L1" s="164"/>
      <x:c r="M1" s="164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Métrica</x:v>
      </x:c>
      <x:c r="B3" s="165" t="str">
        <x:v>Valor</x:v>
      </x:c>
      <x:c r="C3" s="165" t="str">
        <x:v>Leitura</x:v>
      </x:c>
      <x:c r="D3" s="96"/>
      <x:c r="E3" s="166" t="str">
        <x:v>Leitura fundamentalista / value</x:v>
      </x:c>
      <x:c r="F3" s="166"/>
      <x:c r="G3" s="166"/>
      <x:c r="H3" s="166"/>
      <x:c r="I3" s="166"/>
      <x:c r="J3" s="166"/>
      <x:c r="K3" s="166"/>
      <x:c r="L3" s="166"/>
      <x:c r="M3" s="166"/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96" t="str">
        <x:v>Cotação base</x:v>
      </x:c>
      <x:c r="B4" s="212" t="n">
        <x:f>Inputs!B5</x:f>
        <x:v>61.42</x:v>
      </x:c>
      <x:c r="C4" s="21" t="str">
        <x:v>12/06/2026; preço usado para estimar ações compradas.</x:v>
      </x:c>
      <x:c r="D4" s="96"/>
      <x:c r="E4" s="168" t="str">
        <x:v>Pontos positivos</x:v>
      </x:c>
      <x:c r="F4" s="21" t="str">
        <x:v>P/VP abaixo de 0,5x, lucro recorrente relevante, ROE histórico de 5 anos elevado e proventos significativos nos últimos anos.</x:v>
      </x:c>
      <x:c r="G4" s="21"/>
      <x:c r="H4" s="21"/>
      <x:c r="I4" s="21"/>
      <x:c r="J4" s="21"/>
      <x:c r="K4" s="21"/>
      <x:c r="L4" s="21"/>
      <x:c r="M4" s="21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96" t="str">
        <x:v>Aporte simulado</x:v>
      </x:c>
      <x:c r="B5" s="212" t="n">
        <x:f>Inputs!B4</x:f>
        <x:v>50000</x:v>
      </x:c>
      <x:c r="C5" s="21" t="str">
        <x:v>Valor informado.</x:v>
      </x:c>
      <x:c r="D5" s="96"/>
      <x:c r="E5" s="168" t="str">
        <x:v>Descontos/risco</x:v>
      </x:c>
      <x:c r="F5" s="21" t="str">
        <x:v>Banco público, baixa liquidez/free float, risco de capitalização/diluição, crédito regional e oscilação forte de resultados.</x:v>
      </x:c>
      <x:c r="G5" s="21"/>
      <x:c r="H5" s="21"/>
      <x:c r="I5" s="21"/>
      <x:c r="J5" s="21"/>
      <x:c r="K5" s="21"/>
      <x:c r="L5" s="21"/>
      <x:c r="M5" s="21"/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96" t="str">
        <x:v>Ações estimadas</x:v>
      </x:c>
      <x:c r="B6" s="169" t="n">
        <x:f>Inputs!B6</x:f>
        <x:v>814</x:v>
      </x:c>
      <x:c r="C6" s="21" t="str">
        <x:v>Arredondadas para baixo.</x:v>
      </x:c>
      <x:c r="D6" s="96"/>
      <x:c r="E6" s="168" t="str">
        <x:v>Dividendos</x:v>
      </x:c>
      <x:c r="F6" s="21" t="str">
        <x:v>Média de DPA 5a ≈ R$5,78/ação; 2026 foi excepcional/alto, mas já ficou ex em 10/06/2026.</x:v>
      </x:c>
      <x:c r="G6" s="21"/>
      <x:c r="H6" s="21"/>
      <x:c r="I6" s="21"/>
      <x:c r="J6" s="21"/>
      <x:c r="K6" s="21"/>
      <x:c r="L6" s="21"/>
      <x:c r="M6" s="21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96" t="str">
        <x:v>Caixa não usado</x:v>
      </x:c>
      <x:c r="B7" s="212" t="n">
        <x:f>Inputs!B7</x:f>
        <x:v>4.119999999995343</x:v>
      </x:c>
      <x:c r="C7" s="21" t="str">
        <x:v>Sobra por comprar ação inteira.</x:v>
      </x:c>
      <x:c r="D7" s="96"/>
      <x:c r="E7" s="168" t="str">
        <x:v>Valuation</x:v>
      </x:c>
      <x:c r="F7" s="21" t="str">
        <x:v>O preço implícito depende sobretudo de ROE sustentável e P/VP de saída; a ação pode continuar barata por muito tempo se o mercado exigir desconto.</x:v>
      </x:c>
      <x:c r="G7" s="21"/>
      <x:c r="H7" s="21"/>
      <x:c r="I7" s="21"/>
      <x:c r="J7" s="21"/>
      <x:c r="K7" s="21"/>
      <x:c r="L7" s="21"/>
      <x:c r="M7" s="21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96" t="str">
        <x:v>P/L</x:v>
      </x:c>
      <x:c r="B8" s="170" t="n">
        <x:f>Inputs!B12</x:f>
        <x:v>4.07</x:v>
      </x:c>
      <x:c r="C8" s="21" t="str">
        <x:v>Baixo múltiplo, mas precisa ser lido junto de liquidez e risco estatal.</x:v>
      </x:c>
      <x:c r="D8" s="96"/>
      <x:c r="E8" s="168" t="str">
        <x:v>Conclusão prática</x:v>
      </x:c>
      <x:c r="F8" s="21" t="str">
        <x:v>Como aporte concentrado de R$50 mil, o risco principal não é só preço justo: é liquidez, governança estatal e permanência do payout.</x:v>
      </x:c>
      <x:c r="G8" s="21"/>
      <x:c r="H8" s="21"/>
      <x:c r="I8" s="21"/>
      <x:c r="J8" s="21"/>
      <x:c r="K8" s="21"/>
      <x:c r="L8" s="21"/>
      <x:c r="M8" s="21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96" t="str">
        <x:v>P/VP</x:v>
      </x:c>
      <x:c r="B9" s="170" t="n">
        <x:f>Inputs!B11</x:f>
        <x:v>0.48</x:v>
      </x:c>
      <x:c r="C9" s="21" t="str">
        <x:v>Negocia abaixo do valor patrimonial.</x:v>
      </x:c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96" t="str">
        <x:v>ROE TTM</x:v>
      </x:c>
      <x:c r="B10" s="171" t="n">
        <x:f>Inputs!B10</x:f>
        <x:v>0.1177</x:v>
      </x:c>
      <x:c r="C10" s="21" t="str">
        <x:v>Menor que a média de 5 anos.</x:v>
      </x:c>
      <x:c r="D10" s="96"/>
      <x:c r="E10" s="96"/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96" t="str">
        <x:v>ROE médio 5a</x:v>
      </x:c>
      <x:c r="B11" s="171" t="n">
        <x:f>Inputs!B17</x:f>
        <x:v>0.20772</x:v>
      </x:c>
      <x:c r="C11" s="21" t="str">
        <x:v>Histórico recente forte.</x:v>
      </x:c>
      <x:c r="D11" s="96"/>
      <x:c r="E11" s="96"/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96" t="str">
        <x:v>Payout fiscal médio 5a</x:v>
      </x:c>
      <x:c r="B12" s="171" t="n">
        <x:f>Inputs!B16</x:f>
        <x:v>0.37496432314732175</x:v>
      </x:c>
      <x:c r="C12" s="21" t="str">
        <x:v>Base do cenário Base.</x:v>
      </x:c>
      <x:c r="D12" s="96"/>
      <x:c r="E12" s="96"/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96" t="str">
        <x:v>DPA médio 5a</x:v>
      </x:c>
      <x:c r="B13" s="212" t="n">
        <x:f>Inputs!B19</x:f>
        <x:v>5.7768308</x:v>
      </x:c>
      <x:c r="C13" s="21" t="str">
        <x:v>Histórico de proventos por ação.</x:v>
      </x:c>
      <x:c r="D13" s="96"/>
      <x:c r="E13" s="96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96" t="str">
        <x:v>DY 2026 declarado</x:v>
      </x:c>
      <x:c r="B14" s="171" t="n">
        <x:f>Inputs!B14</x:f>
        <x:v>0.1945</x:v>
      </x:c>
      <x:c r="C14" s="21" t="str">
        <x:v>Cuidado: data-ex de 2026 já passou.</x:v>
      </x:c>
      <x:c r="D14" s="96"/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96" t="str">
        <x:v>Free float</x:v>
      </x:c>
      <x:c r="B15" s="171" t="n">
        <x:f>Inputs!B21</x:f>
        <x:v>0.0299</x:v>
      </x:c>
      <x:c r="C15" s="21" t="str">
        <x:v>Risco de liquidez relevante.</x:v>
      </x:c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96"/>
      <x:c r="B16" s="171"/>
      <x:c r="C16" s="21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96"/>
      <x:c r="B17" s="96"/>
      <x:c r="C17" s="96"/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96"/>
      <x:c r="B18" s="96"/>
      <x:c r="C18" s="96"/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96"/>
      <x:c r="B19" s="96"/>
      <x:c r="C19" s="96"/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65" t="str">
        <x:v>Cenário</x:v>
      </x:c>
      <x:c r="B20" s="165" t="str">
        <x:v>ROE</x:v>
      </x:c>
      <x:c r="C20" s="165" t="str">
        <x:v>Payout</x:v>
      </x:c>
      <x:c r="D20" s="165" t="str">
        <x:v>P/VP saída</x:v>
      </x:c>
      <x:c r="E20" s="165" t="str">
        <x:v>Dividendos 10a</x:v>
      </x:c>
      <x:c r="F20" s="165" t="str">
        <x:v>Valor final</x:v>
      </x:c>
      <x:c r="G20" s="165" t="str">
        <x:v>Retorno total</x:v>
      </x:c>
      <x:c r="H20" s="165" t="str">
        <x:v>CAGR</x:v>
      </x:c>
      <x:c r="I20" s="165" t="str">
        <x:v>Comentário</x:v>
      </x:c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96" t="str">
        <x:v>Conservador</x:v>
      </x:c>
      <x:c r="B21" s="171" t="n">
        <x:f>'Valuation 10a'!B4</x:f>
        <x:v>0.08</x:v>
      </x:c>
      <x:c r="C21" s="171" t="n">
        <x:f>'Valuation 10a'!C4</x:f>
        <x:v>0.25</x:v>
      </x:c>
      <x:c r="D21" s="170" t="n">
        <x:f>'Valuation 10a'!D4</x:f>
        <x:v>0.35</x:v>
      </x:c>
      <x:c r="E21" s="228" t="n">
        <x:f>'Valuation 10a'!F4</x:f>
        <x:v>27494.563567147085</x:v>
      </x:c>
      <x:c r="F21" s="228" t="n">
        <x:f>'Valuation 10a'!I4</x:f>
        <x:v>92872.21231265152</x:v>
      </x:c>
      <x:c r="G21" s="171" t="n">
        <x:f>'Valuation 10a'!J4</x:f>
        <x:v>0.8574442462530305</x:v>
      </x:c>
      <x:c r="H21" s="171" t="n">
        <x:f>'Valuation 10a'!K4</x:f>
        <x:v>0.0638773887779518</x:v>
      </x:c>
      <x:c r="I21" s="21" t="str">
        <x:v>ROE/payout comprimidos; múltiplo de saída menor.</x:v>
      </x:c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96" t="str">
        <x:v>Base</x:v>
      </x:c>
      <x:c r="B22" s="171" t="n">
        <x:f>'Valuation 10a'!B5</x:f>
        <x:v>0.13</x:v>
      </x:c>
      <x:c r="C22" s="171" t="n">
        <x:f>'Valuation 10a'!C5</x:f>
        <x:v>0.37496432314732175</x:v>
      </x:c>
      <x:c r="D22" s="170" t="n">
        <x:f>'Valuation 10a'!D5</x:f>
        <x:v>0.55</x:v>
      </x:c>
      <x:c r="E22" s="228" t="n">
        <x:f>'Valuation 10a'!F5</x:f>
        <x:v>74090.45205639926</x:v>
      </x:c>
      <x:c r="F22" s="228" t="n">
        <x:f>'Valuation 10a'!I5</x:f>
        <x:v>199384.96005374077</x:v>
      </x:c>
      <x:c r="G22" s="171" t="n">
        <x:f>'Valuation 10a'!J5</x:f>
        <x:v>2.9876992010748156</x:v>
      </x:c>
      <x:c r="H22" s="171" t="n">
        <x:f>'Valuation 10a'!K5</x:f>
        <x:v>0.1483446175173333</x:v>
      </x:c>
      <x:c r="I22" s="21" t="str">
        <x:v>Premissa central: ROE 13%, payout médio fiscal 5a, P/VP 0,55x.</x:v>
      </x:c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96" t="str">
        <x:v>Otimista</x:v>
      </x:c>
      <x:c r="B23" s="171" t="n">
        <x:f>'Valuation 10a'!B6</x:f>
        <x:v>0.17</x:v>
      </x:c>
      <x:c r="C23" s="171" t="n">
        <x:f>'Valuation 10a'!C6</x:f>
        <x:v>0.45</x:v>
      </x:c>
      <x:c r="D23" s="170" t="n">
        <x:f>'Valuation 10a'!D6</x:f>
        <x:v>0.75</x:v>
      </x:c>
      <x:c r="E23" s="228" t="n">
        <x:f>'Valuation 10a'!F6</x:f>
        <x:v>123264.75954422465</x:v>
      </x:c>
      <x:c r="F23" s="228" t="n">
        <x:f>'Valuation 10a'!I6</x:f>
        <x:v>314484.94079309725</x:v>
      </x:c>
      <x:c r="G23" s="171" t="n">
        <x:f>'Valuation 10a'!J6</x:f>
        <x:v>5.289698815861945</x:v>
      </x:c>
      <x:c r="H23" s="171" t="n">
        <x:f>'Valuation 10a'!K6</x:f>
        <x:v>0.2018851934991781</x:v>
      </x:c>
      <x:c r="I23" s="21" t="str">
        <x:v>ROE alto e re-rating parcial, ainda abaixo de 1x P/VP.</x:v>
      </x:c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96"/>
      <x:c r="B24" s="96"/>
      <x:c r="C24" s="96"/>
      <x:c r="D24" s="96"/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96"/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65" t="str">
        <x:v>Checklist antes de comprar</x:v>
      </x:c>
      <x:c r="B26" s="165" t="str">
        <x:v>O que observar</x:v>
      </x:c>
      <x:c r="C26" s="96"/>
      <x:c r="D26" s="96"/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47" t="str">
        <x:v>Liquidez</x:v>
      </x:c>
      <x:c r="B27" s="21" t="str">
        <x:v>Volume diário é baixo e free float ~3%; uma ordem grande pode impactar preço.</x:v>
      </x:c>
      <x:c r="C27" s="96"/>
      <x:c r="D27" s="96"/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47" t="str">
        <x:v>Data-ex</x:v>
      </x:c>
      <x:c r="B28" s="21" t="str">
        <x:v>O provento alto de 2026 não entra para quem comprar após 10/06/2026.</x:v>
      </x:c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147" t="str">
        <x:v>Payout</x:v>
      </x:c>
      <x:c r="B29" s="21" t="str">
        <x:v>Se payout voltar para 25% ou ROE cair, parte relevante do retorno esperado desaparece.</x:v>
      </x:c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147" t="str">
        <x:v>Capitalização/diluição</x:v>
      </x:c>
      <x:c r="B30" s="21" t="str">
        <x:v>Banco de fomento pode precisar de capital; acompanhe fatos relevantes e CVM.</x:v>
      </x:c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147" t="str">
        <x:v>Impostos</x:v>
      </x:c>
      <x:c r="B31" s="21" t="str">
        <x:v>JCP sofre IRRF; modelo é bruto, nominal e não reinveste proventos.</x:v>
      </x:c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/>
      <x:c r="B32" s="96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/>
      <x:c r="B33" s="96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/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96"/>
      <x:c r="B42" s="96"/>
      <x:c r="C42" s="96"/>
      <x:c r="D42" s="96"/>
      <x:c r="E42" s="96"/>
      <x:c r="F42" s="96"/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96"/>
      <x:c r="B43" s="96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/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/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/>
      <x:c r="B46" s="96"/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/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/>
      <x:c r="B51" s="96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/>
      <x:c r="B52" s="96"/>
      <x:c r="C52" s="96"/>
      <x:c r="D52" s="96"/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/>
      <x:c r="B53" s="96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M1"/>
    <x:mergeCell ref="E3:M3"/>
    <x:mergeCell ref="F4:M4"/>
    <x:mergeCell ref="F5:M5"/>
    <x:mergeCell ref="F6:M6"/>
    <x:mergeCell ref="F7:M7"/>
    <x:mergeCell ref="F8:M8"/>
  </x:mergeCells>
  <x:pageMargins left="0.7" right="0.7" top="0.75" bottom="0.75" header="0.3" footer="0.3"/>
  <x:drawing xmlns:r="http://schemas.openxmlformats.org/officeDocument/2006/relationships" r:id="R37f932c5156940b6"/>
  <x:tableParts count="3">
    <x:tablePart xmlns:r="http://schemas.openxmlformats.org/officeDocument/2006/relationships" r:id="Rb6cfafea084a4de6"/>
    <x:tablePart xmlns:r="http://schemas.openxmlformats.org/officeDocument/2006/relationships" r:id="Rb1fb80c38a1b4acd"/>
    <x:tablePart xmlns:r="http://schemas.openxmlformats.org/officeDocument/2006/relationships" r:id="Ra7bd75c9467a412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2" hidden="0" customWidth="1"/>
    <x:col min="4" max="4" width="18" hidden="0" customWidth="1"/>
    <x:col min="5" max="5" width="52" hidden="0" customWidth="1"/>
    <x:col min="6" max="6" width="52" hidden="0" customWidth="1"/>
  </x:cols>
  <x:sheetData>
    <x:row r="1">
      <x:c r="A1" s="164" t="str">
        <x:v>BAZA3 — Inputs do modelo e premissas (13/06/2026)</x:v>
      </x:c>
      <x:c r="B1" s="164"/>
      <x:c r="C1" s="164"/>
      <x:c r="D1" s="164"/>
      <x:c r="E1" s="164"/>
      <x:c r="F1" s="164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Item</x:v>
      </x:c>
      <x:c r="B3" s="165" t="str">
        <x:v>Valor</x:v>
      </x:c>
      <x:c r="C3" s="165" t="str">
        <x:v>Unidade</x:v>
      </x:c>
      <x:c r="D3" s="165" t="str">
        <x:v>Tipo</x:v>
      </x:c>
      <x:c r="E3" s="165" t="str">
        <x:v>Fonte / nota</x:v>
      </x:c>
      <x:c r="F3" s="165" t="str">
        <x:v>URL</x:v>
      </x:c>
      <x:c r="G3" s="96"/>
      <x:c r="H3" s="96"/>
      <x:c r="I3" s="96"/>
      <x:c r="J3" s="96"/>
      <x:c r="K3" s="96"/>
      <x:c r="L3" s="96"/>
      <x:c r="M3" s="96"/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21" t="str">
        <x:v>Investimento inicial</x:v>
      </x:c>
      <x:c r="B4" s="208" t="n">
        <x:v>50000</x:v>
      </x:c>
      <x:c r="C4" s="21" t="str">
        <x:v>R$</x:v>
      </x:c>
      <x:c r="D4" s="21" t="str">
        <x:v>Input editável</x:v>
      </x:c>
      <x:c r="E4" s="21" t="str">
        <x:v>Valor informado pelo usuário.</x:v>
      </x:c>
      <x:c r="F4" s="21" t="str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21" t="str">
        <x:v>Cotação base BAZA3</x:v>
      </x:c>
      <x:c r="B5" s="208" t="n">
        <x:v>61.42</x:v>
      </x:c>
      <x:c r="C5" s="21" t="str">
        <x:v>R$/ação</x:v>
      </x:c>
      <x:c r="D5" s="21" t="str">
        <x:v>Input de mercado</x:v>
      </x:c>
      <x:c r="E5" s="21" t="str">
        <x:v>Cotação em 12/06/2026.</x:v>
      </x:c>
      <x:c r="F5" s="21" t="str">
        <x:v>https://www.dadosdemercado.com.br/acoes/baza3</x:v>
      </x:c>
      <x:c r="G5" s="96"/>
      <x:c r="H5" s="96"/>
      <x:c r="I5" s="96"/>
      <x:c r="J5" s="96"/>
      <x:c r="K5" s="96"/>
      <x:c r="L5" s="96"/>
      <x:c r="M5" s="96"/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21" t="str">
        <x:v>Ações compradas (arred.)</x:v>
      </x:c>
      <x:c r="B6" s="38" t="n">
        <x:f>ROUNDDOWN(B4/B5,0)</x:f>
        <x:v>814</x:v>
      </x:c>
      <x:c r="C6" s="21" t="str">
        <x:v>ações</x:v>
      </x:c>
      <x:c r="D6" s="21" t="str">
        <x:v>Fórmula</x:v>
      </x:c>
      <x:c r="E6" s="21" t="str">
        <x:v>Arredondado para baixo; não considera corretagem/emolumentos.</x:v>
      </x:c>
      <x:c r="F6" s="21" t="str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21" t="str">
        <x:v>Caixa não usado</x:v>
      </x:c>
      <x:c r="B7" s="210" t="n">
        <x:f>B4-B6*B5</x:f>
        <x:v>4.119999999995343</x:v>
      </x:c>
      <x:c r="C7" s="21" t="str">
        <x:v>R$</x:v>
      </x:c>
      <x:c r="D7" s="21" t="str">
        <x:v>Fórmula</x:v>
      </x:c>
      <x:c r="E7" s="21" t="str">
        <x:v>Sobra após comprar ações inteiras.</x:v>
      </x:c>
      <x:c r="F7" s="21" t="str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21" t="str">
        <x:v>VPA / BVPS inicial</x:v>
      </x:c>
      <x:c r="B8" s="208" t="n">
        <x:v>128.13</x:v>
      </x:c>
      <x:c r="C8" s="21" t="str">
        <x:v>R$/ação</x:v>
      </x:c>
      <x:c r="D8" s="21" t="str">
        <x:v>Input de mercado</x:v>
      </x:c>
      <x:c r="E8" s="21" t="str">
        <x:v>VPA atual/TTM.</x:v>
      </x:c>
      <x:c r="F8" s="21" t="str">
        <x:v>https://visnoinvest.com.br/stocks/BAZA3</x:v>
      </x:c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21" t="str">
        <x:v>LPA / EPS TTM</x:v>
      </x:c>
      <x:c r="B9" s="208" t="n">
        <x:v>15.08</x:v>
      </x:c>
      <x:c r="C9" s="21" t="str">
        <x:v>R$/ação</x:v>
      </x:c>
      <x:c r="D9" s="21" t="str">
        <x:v>Input de mercado</x:v>
      </x:c>
      <x:c r="E9" s="21" t="str">
        <x:v>LPA atual/TTM.</x:v>
      </x:c>
      <x:c r="F9" s="21" t="str">
        <x:v>https://visnoinvest.com.br/stocks/BAZA3</x:v>
      </x:c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21" t="str">
        <x:v>ROE TTM</x:v>
      </x:c>
      <x:c r="B10" s="40" t="n">
        <x:v>0.1177</x:v>
      </x:c>
      <x:c r="C10" s="21" t="str">
        <x:v>%</x:v>
      </x:c>
      <x:c r="D10" s="21" t="str">
        <x:v>Input de mercado</x:v>
      </x:c>
      <x:c r="E10" s="21" t="str">
        <x:v>ROE atual/TTM.</x:v>
      </x:c>
      <x:c r="F10" s="21" t="str">
        <x:v>https://visnoinvest.com.br/stocks/BAZA3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21" t="str">
        <x:v>P/VP atual</x:v>
      </x:c>
      <x:c r="B11" s="42" t="n">
        <x:v>0.48</x:v>
      </x:c>
      <x:c r="C11" s="21" t="str">
        <x:v>x</x:v>
      </x:c>
      <x:c r="D11" s="21" t="str">
        <x:v>Input de mercado</x:v>
      </x:c>
      <x:c r="E11" s="21" t="str">
        <x:v>P/VPA atual.</x:v>
      </x:c>
      <x:c r="F11" s="21" t="str">
        <x:v>https://visnoinvest.com.br/stocks/BAZA3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21" t="str">
        <x:v>P/L atual</x:v>
      </x:c>
      <x:c r="B12" s="42" t="n">
        <x:v>4.07</x:v>
      </x:c>
      <x:c r="C12" s="21" t="str">
        <x:v>x</x:v>
      </x:c>
      <x:c r="D12" s="21" t="str">
        <x:v>Input de mercado</x:v>
      </x:c>
      <x:c r="E12" s="21" t="str">
        <x:v>Preço/Lucro atual.</x:v>
      </x:c>
      <x:c r="F12" s="21" t="str">
        <x:v>https://visnoinvest.com.br/stocks/BAZA3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21" t="str">
        <x:v>DPA 2026 declarado</x:v>
      </x:c>
      <x:c r="B13" s="208" t="n">
        <x:v>11.943465</x:v>
      </x:c>
      <x:c r="C13" s="21" t="str">
        <x:v>R$/ação</x:v>
      </x:c>
      <x:c r="D13" s="21" t="str">
        <x:v>Input de mercado</x:v>
      </x:c>
      <x:c r="E13" s="21" t="str">
        <x:v>Total de proventos por ação com data-com em 09/06/2026.</x:v>
      </x:c>
      <x:c r="F13" s="21" t="str">
        <x:v>https://www.dadosdemercado.com.br/acoes/baza3/dividendos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21" t="str">
        <x:v>DY 2026 declarado</x:v>
      </x:c>
      <x:c r="B14" s="40" t="n">
        <x:v>0.1945</x:v>
      </x:c>
      <x:c r="C14" s="21" t="str">
        <x:v>%</x:v>
      </x:c>
      <x:c r="D14" s="21" t="str">
        <x:v>Input de mercado</x:v>
      </x:c>
      <x:c r="E14" s="21" t="str">
        <x:v>Yield anual de proventos 2026 sobre cotação da fonte.</x:v>
      </x:c>
      <x:c r="F14" s="21" t="str">
        <x:v>https://www.dadosdemercado.com.br/acoes/baza3/dividendos</x:v>
      </x:c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21" t="str">
        <x:v>Horizonte do modelo</x:v>
      </x:c>
      <x:c r="B15" s="44" t="n">
        <x:v>10</x:v>
      </x:c>
      <x:c r="C15" s="21" t="str">
        <x:v>anos</x:v>
      </x:c>
      <x:c r="D15" s="21" t="str">
        <x:v>Input editável</x:v>
      </x:c>
      <x:c r="E15" s="21" t="str">
        <x:v>Projeção nominal de 10 anos.</x:v>
      </x:c>
      <x:c r="F15" s="21" t="str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21" t="str">
        <x:v>Payout fiscal médio 5a</x:v>
      </x:c>
      <x:c r="B16" s="40" t="n">
        <x:v>0.37496432314732175</x:v>
      </x:c>
      <x:c r="C16" s="21" t="str">
        <x:v>%</x:v>
      </x:c>
      <x:c r="D16" s="21" t="str">
        <x:v>Premissa base</x:v>
      </x:c>
      <x:c r="E16" s="21" t="str">
        <x:v>Média aproximada: provento do ano seguinte / LPA do exercício, FY2021-FY2025.</x:v>
      </x:c>
      <x:c r="F16" s="21" t="str">
        <x:v>Modelo; Dados de Mercado; Visno</x:v>
      </x:c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21" t="str">
        <x:v>ROE médio 5a</x:v>
      </x:c>
      <x:c r="B17" s="40" t="n">
        <x:v>0.20772</x:v>
      </x:c>
      <x:c r="C17" s="21" t="str">
        <x:v>%</x:v>
      </x:c>
      <x:c r="D17" s="21" t="str">
        <x:v>Histórico</x:v>
      </x:c>
      <x:c r="E17" s="21" t="str">
        <x:v>Média simples ROE 2021-2025.</x:v>
      </x:c>
      <x:c r="F17" s="21" t="str">
        <x:v>https://visnoinvest.com.br/stocks/BAZA3</x:v>
      </x:c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21" t="str">
        <x:v>ROE médio 10a</x:v>
      </x:c>
      <x:c r="B18" s="40" t="n">
        <x:v>0.14309</x:v>
      </x:c>
      <x:c r="C18" s="21" t="str">
        <x:v>%</x:v>
      </x:c>
      <x:c r="D18" s="21" t="str">
        <x:v>Histórico</x:v>
      </x:c>
      <x:c r="E18" s="21" t="str">
        <x:v>Média simples ROE 2016-2025.</x:v>
      </x:c>
      <x:c r="F18" s="21" t="str">
        <x:v>https://visnoinvest.com.br/stocks/BAZA3</x:v>
      </x:c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21" t="str">
        <x:v>DPA médio 5a</x:v>
      </x:c>
      <x:c r="B19" s="208" t="n">
        <x:v>5.7768308</x:v>
      </x:c>
      <x:c r="C19" s="21" t="str">
        <x:v>R$/ação</x:v>
      </x:c>
      <x:c r="D19" s="21" t="str">
        <x:v>Histórico</x:v>
      </x:c>
      <x:c r="E19" s="21" t="str">
        <x:v>Média DPA calendário 2021-2025.</x:v>
      </x:c>
      <x:c r="F19" s="21" t="str">
        <x:v>https://www.dadosdemercado.com.br/acoes/baza3/dividendos</x:v>
      </x:c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21" t="str">
        <x:v>DY médio 5a</x:v>
      </x:c>
      <x:c r="B20" s="40" t="n">
        <x:v>0.08556</x:v>
      </x:c>
      <x:c r="C20" s="21" t="str">
        <x:v>%</x:v>
      </x:c>
      <x:c r="D20" s="21" t="str">
        <x:v>Histórico</x:v>
      </x:c>
      <x:c r="E20" s="21" t="str">
        <x:v>Média DY calendário 2021-2025.</x:v>
      </x:c>
      <x:c r="F20" s="21" t="str">
        <x:v>https://www.dadosdemercado.com.br/acoes/baza3/dividendos</x:v>
      </x:c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21" t="str">
        <x:v>Free float</x:v>
      </x:c>
      <x:c r="B21" s="40" t="n">
        <x:v>0.0299</x:v>
      </x:c>
      <x:c r="C21" s="21" t="str">
        <x:v>%</x:v>
      </x:c>
      <x:c r="D21" s="21" t="str">
        <x:v>Risco</x:v>
      </x:c>
      <x:c r="E21" s="21" t="str">
        <x:v>Baixo free float; aumenta risco de liquidez/volatilidade.</x:v>
      </x:c>
      <x:c r="F21" s="21" t="str">
        <x:v>https://visnoinvest.com.br/stocks/BAZA3</x:v>
      </x:c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21" t="str">
        <x:v>Preço-alvo Graham (referência)</x:v>
      </x:c>
      <x:c r="B22" s="208" t="n">
        <x:v>208.52</x:v>
      </x:c>
      <x:c r="C22" s="21" t="str">
        <x:v>R$/ação</x:v>
      </x:c>
      <x:c r="D22" s="21" t="str">
        <x:v>Referência</x:v>
      </x:c>
      <x:c r="E22" s="21" t="str">
        <x:v>Número de agregador; fórmula de Graham é limitada para bancos.</x:v>
      </x:c>
      <x:c r="F22" s="21" t="str">
        <x:v>https://visnoinvest.com.br/stocks/BAZA3</x:v>
      </x:c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96"/>
      <x:c r="B23" s="96"/>
      <x:c r="C23" s="96"/>
      <x:c r="D23" s="96"/>
      <x:c r="E23" s="96"/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96"/>
      <x:c r="B24" s="96"/>
      <x:c r="C24" s="96"/>
      <x:c r="D24" s="96"/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65" t="str">
        <x:v>Cenário</x:v>
      </x:c>
      <x:c r="B25" s="165" t="str">
        <x:v>ROE sustentável</x:v>
      </x:c>
      <x:c r="C25" s="165" t="str">
        <x:v>Payout</x:v>
      </x:c>
      <x:c r="D25" s="165" t="str">
        <x:v>P/VP de saída</x:v>
      </x:c>
      <x:c r="E25" s="165" t="str">
        <x:v>Racional</x:v>
      </x:c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96" t="str">
        <x:v>Conservador</x:v>
      </x:c>
      <x:c r="B26" s="182" t="n">
        <x:v>0.08</x:v>
      </x:c>
      <x:c r="C26" s="182" t="n">
        <x:v>0.25</x:v>
      </x:c>
      <x:c r="D26" s="183" t="n">
        <x:v>0.35</x:v>
      </x:c>
      <x:c r="E26" s="21" t="str">
        <x:v>ROE abaixo da média recente, menor payout e desconto maior por liquidez/risco estatal.</x:v>
      </x:c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96" t="str">
        <x:v>Base</x:v>
      </x:c>
      <x:c r="B27" s="182" t="n">
        <x:v>0.13</x:v>
      </x:c>
      <x:c r="C27" s="182" t="n">
        <x:v>0.37496432314732175</x:v>
      </x:c>
      <x:c r="D27" s="183" t="n">
        <x:v>0.55</x:v>
      </x:c>
      <x:c r="E27" s="21" t="str">
        <x:v>ROE abaixo da média 5a, próximo do ciclo atual; payout baseado em média fiscal aproximada 5a.</x:v>
      </x:c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96" t="str">
        <x:v>Otimista</x:v>
      </x:c>
      <x:c r="B28" s="182" t="n">
        <x:v>0.17</x:v>
      </x:c>
      <x:c r="C28" s="182" t="n">
        <x:v>0.45</x:v>
      </x:c>
      <x:c r="D28" s="183" t="n">
        <x:v>0.75</x:v>
      </x:c>
      <x:c r="E28" s="21" t="str">
        <x:v>ROE converge para patamar alto e mercado paga múltiplo maior, ainda abaixo de 1,0x P/VP.</x:v>
      </x:c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96"/>
      <x:c r="B29" s="9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96"/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96"/>
      <x:c r="B31" s="96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/>
      <x:c r="B32" s="96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/>
      <x:c r="B33" s="96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/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96"/>
      <x:c r="B42" s="96"/>
      <x:c r="C42" s="96"/>
      <x:c r="D42" s="96"/>
      <x:c r="E42" s="96"/>
      <x:c r="F42" s="96"/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96"/>
      <x:c r="B43" s="96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/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/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/>
      <x:c r="B46" s="96"/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/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/>
      <x:c r="B51" s="96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/>
      <x:c r="B52" s="96"/>
      <x:c r="C52" s="96"/>
      <x:c r="D52" s="96"/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/>
      <x:c r="B53" s="96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e6caf21678ed4a37"/>
    <x:tablePart xmlns:r="http://schemas.openxmlformats.org/officeDocument/2006/relationships" r:id="Rad70055c27724e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0" hidden="0" customWidth="1"/>
    <x:col min="15" max="15" width="48" hidden="0" customWidth="1"/>
    <x:col min="17" max="17" width="28" hidden="0" customWidth="1"/>
    <x:col min="18" max="18" width="16" hidden="0" customWidth="1"/>
    <x:col min="19" max="19" width="50" hidden="0" customWidth="1"/>
  </x:cols>
  <x:sheetData>
    <x:row r="1">
      <x:c r="A1" s="164" t="str">
        <x:v>Histórico fundamentalista — BAZA3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  <x:c r="L1" s="164"/>
      <x:c r="M1" s="164"/>
      <x:c r="N1" s="164"/>
      <x:c r="O1" s="164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Ano</x:v>
      </x:c>
      <x:c r="B3" s="165" t="str">
        <x:v>Base</x:v>
      </x:c>
      <x:c r="C3" s="165" t="str">
        <x:v>Preço / cotação (R$/ação)</x:v>
      </x:c>
      <x:c r="D3" s="165" t="str">
        <x:v>DPA calendário (R$/ação)</x:v>
      </x:c>
      <x:c r="E3" s="165" t="str">
        <x:v>DY calendário</x:v>
      </x:c>
      <x:c r="F3" s="165" t="str">
        <x:v>LPA (R$/ação)</x:v>
      </x:c>
      <x:c r="G3" s="165" t="str">
        <x:v>VPA (R$/ação)</x:v>
      </x:c>
      <x:c r="H3" s="165" t="str">
        <x:v>ROE</x:v>
      </x:c>
      <x:c r="I3" s="165" t="str">
        <x:v>P/L</x:v>
      </x:c>
      <x:c r="J3" s="165" t="str">
        <x:v>P/VP</x:v>
      </x:c>
      <x:c r="K3" s="165" t="str">
        <x:v>Lucro líquido (R$ bi)</x:v>
      </x:c>
      <x:c r="L3" s="165" t="str">
        <x:v>Patrimônio líquido (R$ bi)</x:v>
      </x:c>
      <x:c r="M3" s="165" t="str">
        <x:v>Payout fiscal aprox.</x:v>
      </x:c>
      <x:c r="N3" s="165" t="str">
        <x:v>Fonte</x:v>
      </x:c>
      <x:c r="O3" s="165" t="str">
        <x:v>Observações</x:v>
      </x:c>
      <x:c r="P3" s="96"/>
      <x:c r="Q3" s="165" t="str">
        <x:v>Métrica</x:v>
      </x:c>
      <x:c r="R3" s="165" t="str">
        <x:v>Valor</x:v>
      </x:c>
      <x:c r="S3" s="165" t="str">
        <x:v>Comentário</x:v>
      </x:c>
      <x:c r="T3" s="96"/>
      <x:c r="U3" s="96"/>
      <x:c r="V3" s="96"/>
      <x:c r="W3" s="96"/>
      <x:c r="X3" s="96"/>
      <x:c r="Y3" s="96"/>
      <x:c r="Z3" s="96"/>
    </x:row>
    <x:row r="4">
      <x:c r="A4" s="21" t="n">
        <x:v>2026</x:v>
      </x:c>
      <x:c r="B4" s="21" t="str">
        <x:v>Atual/TTM</x:v>
      </x:c>
      <x:c r="C4" s="214" t="n">
        <x:v>61.42</x:v>
      </x:c>
      <x:c r="D4" s="214" t="n">
        <x:v>11.943465</x:v>
      </x:c>
      <x:c r="E4" s="132" t="n">
        <x:v>0.1945</x:v>
      </x:c>
      <x:c r="F4" s="214" t="n">
        <x:v>15.08</x:v>
      </x:c>
      <x:c r="G4" s="214" t="n">
        <x:v>128.13</x:v>
      </x:c>
      <x:c r="H4" s="132" t="n">
        <x:v>0.1177</x:v>
      </x:c>
      <x:c r="I4" s="134" t="n">
        <x:v>4.07</x:v>
      </x:c>
      <x:c r="J4" s="134" t="n">
        <x:v>0.48</x:v>
      </x:c>
      <x:c r="K4" s="214" t="n">
        <x:v>0.8455</x:v>
      </x:c>
      <x:c r="L4" s="214" t="n">
        <x:v>7.18</x:v>
      </x:c>
      <x:c r="M4" s="132"/>
      <x:c r="N4" s="21" t="str">
        <x:v>Dados de Mercado; Visno; Fundamentei</x:v>
      </x:c>
      <x:c r="O4" s="21" t="str">
        <x:v>TTM 1T26. Provento 2026 teve data-com 09/06/2026 e ex 10/06/2026; compra depois da data-ex não captura esse pagamento.</x:v>
      </x:c>
      <x:c r="P4" s="96"/>
      <x:c r="Q4" s="96" t="str">
        <x:v>ROE médio 5a (2021-2025)</x:v>
      </x:c>
      <x:c r="R4" s="171" t="n">
        <x:f>AVERAGE(H5:H9)</x:f>
        <x:v>0.20772</x:v>
      </x:c>
      <x:c r="S4" s="96" t="str">
        <x:v>A média recente é alta, mas o TTM atual já caiu para 11,77%.</x:v>
      </x:c>
      <x:c r="T4" s="96"/>
      <x:c r="U4" s="96"/>
      <x:c r="V4" s="96"/>
      <x:c r="W4" s="96"/>
      <x:c r="X4" s="96"/>
      <x:c r="Y4" s="96"/>
      <x:c r="Z4" s="96"/>
    </x:row>
    <x:row r="5">
      <x:c r="A5" s="21" t="n">
        <x:v>2025</x:v>
      </x:c>
      <x:c r="B5" s="21" t="str">
        <x:v>Anual</x:v>
      </x:c>
      <x:c r="C5" s="214" t="n">
        <x:v>77.79</x:v>
      </x:c>
      <x:c r="D5" s="214" t="n">
        <x:v>7.703077</x:v>
      </x:c>
      <x:c r="E5" s="132" t="n">
        <x:v>0.099</x:v>
      </x:c>
      <x:c r="F5" s="214" t="n">
        <x:v>19.15</x:v>
      </x:c>
      <x:c r="G5" s="214" t="n">
        <x:v>129.92</x:v>
      </x:c>
      <x:c r="H5" s="132" t="n">
        <x:v>0.1544</x:v>
      </x:c>
      <x:c r="I5" s="134" t="n">
        <x:v>4.06</x:v>
      </x:c>
      <x:c r="J5" s="134" t="n">
        <x:v>0.6</x:v>
      </x:c>
      <x:c r="K5" s="214" t="n">
        <x:v>1.11</x:v>
      </x:c>
      <x:c r="L5" s="214" t="n">
        <x:v>7.16</x:v>
      </x:c>
      <x:c r="M5" s="132" t="n">
        <x:f>IFERROR(D4/F5,"")</x:f>
        <x:v>0.6236796344647519</x:v>
      </x:c>
      <x:c r="N5" s="21" t="str">
        <x:v>Dados de Mercado; Visno</x:v>
      </x:c>
      <x:c r="O5" s="21" t="str">
        <x:v>DPA calendário 2025. Payout fiscal aproximado usa provento 2026 / LPA 2025.</x:v>
      </x:c>
      <x:c r="P5" s="96"/>
      <x:c r="Q5" s="96" t="str">
        <x:v>ROE médio 10a (2016-2025)</x:v>
      </x:c>
      <x:c r="R5" s="171" t="n">
        <x:f>AVERAGE(H5:H14)</x:f>
        <x:v>0.14309</x:v>
      </x:c>
      <x:c r="S5" s="96" t="str">
        <x:v>Inclui anos fracos de 2016-2018.</x:v>
      </x:c>
      <x:c r="T5" s="96"/>
      <x:c r="U5" s="96"/>
      <x:c r="V5" s="96"/>
      <x:c r="W5" s="96"/>
      <x:c r="X5" s="96"/>
      <x:c r="Y5" s="96"/>
      <x:c r="Z5" s="96"/>
    </x:row>
    <x:row r="6">
      <x:c r="A6" s="21" t="n">
        <x:v>2024</x:v>
      </x:c>
      <x:c r="B6" s="21" t="str">
        <x:v>Anual</x:v>
      </x:c>
      <x:c r="C6" s="214" t="n">
        <x:v>79.25</x:v>
      </x:c>
      <x:c r="D6" s="214" t="n">
        <x:v>6.625162</x:v>
      </x:c>
      <x:c r="E6" s="132" t="n">
        <x:v>0.0771</x:v>
      </x:c>
      <x:c r="F6" s="214" t="n">
        <x:v>23.27</x:v>
      </x:c>
      <x:c r="G6" s="214" t="n">
        <x:v>121.39</x:v>
      </x:c>
      <x:c r="H6" s="132" t="n">
        <x:v>0.1733</x:v>
      </x:c>
      <x:c r="I6" s="134" t="n">
        <x:v>3.69</x:v>
      </x:c>
      <x:c r="J6" s="134" t="n">
        <x:v>0.71</x:v>
      </x:c>
      <x:c r="K6" s="214" t="n">
        <x:v>1.13</x:v>
      </x:c>
      <x:c r="L6" s="214" t="n">
        <x:v>6.53</x:v>
      </x:c>
      <x:c r="M6" s="132" t="n">
        <x:f>IFERROR(D5/F6,"")</x:f>
        <x:v>0.33103038246669536</x:v>
      </x:c>
      <x:c r="N6" s="21" t="str">
        <x:v>Dados de Mercado; Visno</x:v>
      </x:c>
      <x:c r="O6" s="21" t="str">
        <x:v>DPA calendário 2024. A ação teve desdobramento 1:3 em 2024; valores por ação dependem de ajuste da fonte.</x:v>
      </x:c>
      <x:c r="P6" s="96"/>
      <x:c r="Q6" s="96" t="str">
        <x:v>Payout fiscal médio 5a</x:v>
      </x:c>
      <x:c r="R6" s="171" t="n">
        <x:f>AVERAGE(M5:M9)</x:f>
        <x:v>0.37496432314732175</x:v>
      </x:c>
      <x:c r="S6" s="96" t="str">
        <x:v>Base para cenário Base.</x:v>
      </x:c>
      <x:c r="T6" s="96"/>
      <x:c r="U6" s="96"/>
      <x:c r="V6" s="96"/>
      <x:c r="W6" s="96"/>
      <x:c r="X6" s="96"/>
      <x:c r="Y6" s="96"/>
      <x:c r="Z6" s="96"/>
    </x:row>
    <x:row r="7">
      <x:c r="A7" s="21" t="n">
        <x:v>2023</x:v>
      </x:c>
      <x:c r="B7" s="21" t="str">
        <x:v>Anual</x:v>
      </x:c>
      <x:c r="C7" s="214" t="n">
        <x:v>82.26</x:v>
      </x:c>
      <x:c r="D7" s="214" t="n">
        <x:v>5.329841</x:v>
      </x:c>
      <x:c r="E7" s="132" t="n">
        <x:v>0.0561</x:v>
      </x:c>
      <x:c r="F7" s="214" t="n">
        <x:v>21.31</x:v>
      </x:c>
      <x:c r="G7" s="214" t="n">
        <x:v>103.67</x:v>
      </x:c>
      <x:c r="H7" s="132" t="n">
        <x:v>0.2286</x:v>
      </x:c>
      <x:c r="I7" s="134" t="n">
        <x:v>4.46</x:v>
      </x:c>
      <x:c r="J7" s="134" t="n">
        <x:v>0.92</x:v>
      </x:c>
      <x:c r="K7" s="214" t="n">
        <x:v>1.35</x:v>
      </x:c>
      <x:c r="L7" s="214" t="n">
        <x:v>5.88</x:v>
      </x:c>
      <x:c r="M7" s="132" t="n">
        <x:f>IFERROR(D6/F7,"")</x:f>
        <x:v>0.3108945096198968</x:v>
      </x:c>
      <x:c r="N7" s="21" t="str">
        <x:v>Dados de Mercado; Visno</x:v>
      </x:c>
      <x:c r="O7" s="21" t="str"/>
      <x:c r="P7" s="96"/>
      <x:c r="Q7" s="96" t="str">
        <x:v>DPA médio 5a</x:v>
      </x:c>
      <x:c r="R7" s="212" t="n">
        <x:f>AVERAGE(D5:D9)</x:f>
        <x:v>5.776830799999999</x:v>
      </x:c>
      <x:c r="S7" s="96" t="str">
        <x:v>DPA calendário 2021-2025.</x:v>
      </x:c>
      <x:c r="T7" s="96"/>
      <x:c r="U7" s="96"/>
      <x:c r="V7" s="96"/>
      <x:c r="W7" s="96"/>
      <x:c r="X7" s="96"/>
      <x:c r="Y7" s="96"/>
      <x:c r="Z7" s="96"/>
    </x:row>
    <x:row r="8">
      <x:c r="A8" s="21" t="n">
        <x:v>2022</x:v>
      </x:c>
      <x:c r="B8" s="21" t="str">
        <x:v>Anual</x:v>
      </x:c>
      <x:c r="C8" s="214" t="n">
        <x:v>40.32</x:v>
      </x:c>
      <x:c r="D8" s="214" t="n">
        <x:v>6.62766</x:v>
      </x:c>
      <x:c r="E8" s="132" t="n">
        <x:v>0.1327</x:v>
      </x:c>
      <x:c r="F8" s="214" t="n">
        <x:v>20.34</x:v>
      </x:c>
      <x:c r="G8" s="214" t="n">
        <x:v>87.08</x:v>
      </x:c>
      <x:c r="H8" s="132" t="n">
        <x:v>0.2318</x:v>
      </x:c>
      <x:c r="I8" s="134" t="n">
        <x:v>2.46</x:v>
      </x:c>
      <x:c r="J8" s="134" t="n">
        <x:v>0.57</x:v>
      </x:c>
      <x:c r="K8" s="214" t="n">
        <x:v>1.12</x:v>
      </x:c>
      <x:c r="L8" s="214" t="n">
        <x:v>4.84</x:v>
      </x:c>
      <x:c r="M8" s="132" t="n">
        <x:f>IFERROR(D7/F8,"")</x:f>
        <x:v>0.2620374139626352</x:v>
      </x:c>
      <x:c r="N8" s="21" t="str">
        <x:v>Dados de Mercado; Visno</x:v>
      </x:c>
      <x:c r="O8" s="21" t="str"/>
      <x:c r="P8" s="96"/>
      <x:c r="Q8" s="96" t="str">
        <x:v>DY médio 5a</x:v>
      </x:c>
      <x:c r="R8" s="171" t="n">
        <x:f>AVERAGE(E5:E9)</x:f>
        <x:v>0.08556</x:v>
      </x:c>
      <x:c r="S8" s="96" t="str">
        <x:v>DY calendário 2021-2025.</x:v>
      </x:c>
      <x:c r="T8" s="96"/>
      <x:c r="U8" s="96"/>
      <x:c r="V8" s="96"/>
      <x:c r="W8" s="96"/>
      <x:c r="X8" s="96"/>
      <x:c r="Y8" s="96"/>
      <x:c r="Z8" s="96"/>
    </x:row>
    <x:row r="9">
      <x:c r="A9" s="21" t="n">
        <x:v>2021</x:v>
      </x:c>
      <x:c r="B9" s="21" t="str">
        <x:v>Anual</x:v>
      </x:c>
      <x:c r="C9" s="214" t="n">
        <x:v>29.07</x:v>
      </x:c>
      <x:c r="D9" s="214" t="n">
        <x:v>2.598414</x:v>
      </x:c>
      <x:c r="E9" s="132" t="n">
        <x:v>0.0629</x:v>
      </x:c>
      <x:c r="F9" s="214" t="n">
        <x:v>19.09</x:v>
      </x:c>
      <x:c r="G9" s="214" t="n">
        <x:v>96.39</x:v>
      </x:c>
      <x:c r="H9" s="132" t="n">
        <x:v>0.2505</x:v>
      </x:c>
      <x:c r="I9" s="134" t="n">
        <x:v>2.16</x:v>
      </x:c>
      <x:c r="J9" s="134" t="n">
        <x:v>0.43</x:v>
      </x:c>
      <x:c r="K9" s="214" t="n">
        <x:v>0.73784</x:v>
      </x:c>
      <x:c r="L9" s="214" t="n">
        <x:v>2.94</x:v>
      </x:c>
      <x:c r="M9" s="132" t="n">
        <x:f>IFERROR(D8/F9,"")</x:f>
        <x:v>0.34717967522262966</x:v>
      </x:c>
      <x:c r="N9" s="21" t="str">
        <x:v>Dados de Mercado; Visno</x:v>
      </x:c>
      <x:c r="O9" s="21" t="str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21" t="n">
        <x:v>2020</x:v>
      </x:c>
      <x:c r="B10" s="21" t="str">
        <x:v>Anual</x:v>
      </x:c>
      <x:c r="C10" s="214" t="n">
        <x:v>27.9</x:v>
      </x:c>
      <x:c r="D10" s="214" t="n">
        <x:v>3.5428</x:v>
      </x:c>
      <x:c r="E10" s="132" t="n">
        <x:v>0.084</x:v>
      </x:c>
      <x:c r="F10" s="214" t="n">
        <x:v>11.42</x:v>
      </x:c>
      <x:c r="G10" s="214" t="n">
        <x:v>77.52</x:v>
      </x:c>
      <x:c r="H10" s="132" t="n">
        <x:v>0.1099</x:v>
      </x:c>
      <x:c r="I10" s="134" t="n">
        <x:v>3.7</x:v>
      </x:c>
      <x:c r="J10" s="134" t="n">
        <x:v>0.54</x:v>
      </x:c>
      <x:c r="K10" s="214" t="n">
        <x:v>0.26557</x:v>
      </x:c>
      <x:c r="L10" s="214" t="n">
        <x:v>2.42</x:v>
      </x:c>
      <x:c r="M10" s="132" t="n">
        <x:f>IFERROR(D9/F10,"")</x:f>
        <x:v>0.22753187390542906</x:v>
      </x:c>
      <x:c r="N10" s="21" t="str">
        <x:v>Dados de Mercado; Visno</x:v>
      </x:c>
      <x:c r="O10" s="21" t="str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21" t="n">
        <x:v>2019</x:v>
      </x:c>
      <x:c r="B11" s="21" t="str">
        <x:v>Anual</x:v>
      </x:c>
      <x:c r="C11" s="214" t="n">
        <x:v>24.05</x:v>
      </x:c>
      <x:c r="D11" s="214" t="n">
        <x:v>1.4091</x:v>
      </x:c>
      <x:c r="E11" s="132" t="n">
        <x:v>0.0352</x:v>
      </x:c>
      <x:c r="F11" s="214" t="n">
        <x:v>6.19</x:v>
      </x:c>
      <x:c r="G11" s="214" t="n">
        <x:v>68.88</x:v>
      </x:c>
      <x:c r="H11" s="132" t="n">
        <x:v>0.1252</x:v>
      </x:c>
      <x:c r="I11" s="134" t="n">
        <x:v>6.46</x:v>
      </x:c>
      <x:c r="J11" s="134" t="n">
        <x:v>0.58</x:v>
      </x:c>
      <x:c r="K11" s="214" t="n">
        <x:v>0.27535</x:v>
      </x:c>
      <x:c r="L11" s="214" t="n">
        <x:v>2.2</x:v>
      </x:c>
      <x:c r="M11" s="132" t="n">
        <x:f>IFERROR(D10/F11,"")</x:f>
        <x:v>0.5723424878836834</x:v>
      </x:c>
      <x:c r="N11" s="21" t="str">
        <x:v>Dados de Mercado; Visno</x:v>
      </x:c>
      <x:c r="O11" s="21" t="str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21" t="n">
        <x:v>2018</x:v>
      </x:c>
      <x:c r="B12" s="21" t="str">
        <x:v>Anual</x:v>
      </x:c>
      <x:c r="C12" s="214" t="n">
        <x:v>13.63</x:v>
      </x:c>
      <x:c r="D12" s="214" t="n">
        <x:v>0.6283</x:v>
      </x:c>
      <x:c r="E12" s="132" t="n">
        <x:v>0.0263</x:v>
      </x:c>
      <x:c r="F12" s="214" t="n">
        <x:v>1.51</x:v>
      </x:c>
      <x:c r="G12" s="214" t="n">
        <x:v>64.29</x:v>
      </x:c>
      <x:c r="H12" s="132" t="n">
        <x:v>0.0563</x:v>
      </x:c>
      <x:c r="I12" s="134" t="n">
        <x:v>15.84</x:v>
      </x:c>
      <x:c r="J12" s="134" t="n">
        <x:v>0.37</x:v>
      </x:c>
      <x:c r="K12" s="214" t="n">
        <x:v>0.10908</x:v>
      </x:c>
      <x:c r="L12" s="214" t="n">
        <x:v>1.94</x:v>
      </x:c>
      <x:c r="M12" s="132" t="n">
        <x:f>IFERROR(D11/F12,"")</x:f>
        <x:v>0.9331788079470199</x:v>
      </x:c>
      <x:c r="N12" s="21" t="str">
        <x:v>Dados de Mercado; Visno</x:v>
      </x:c>
      <x:c r="O12" s="21" t="str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21" t="n">
        <x:v>2017</x:v>
      </x:c>
      <x:c r="B13" s="21" t="str">
        <x:v>Anual</x:v>
      </x:c>
      <x:c r="C13" s="214" t="n">
        <x:v>13.92</x:v>
      </x:c>
      <x:c r="D13" s="214" t="n">
        <x:v>0.633</x:v>
      </x:c>
      <x:c r="E13" s="132" t="n">
        <x:v>0.0455</x:v>
      </x:c>
      <x:c r="F13" s="214" t="n">
        <x:v>3.9</x:v>
      </x:c>
      <x:c r="G13" s="214" t="n">
        <x:v>66.28</x:v>
      </x:c>
      <x:c r="H13" s="132" t="n">
        <x:v>0.0342</x:v>
      </x:c>
      <x:c r="I13" s="134" t="n">
        <x:v>6.41</x:v>
      </x:c>
      <x:c r="J13" s="134" t="n">
        <x:v>0.38</x:v>
      </x:c>
      <x:c r="K13" s="214" t="n">
        <x:v>0.06451</x:v>
      </x:c>
      <x:c r="L13" s="214" t="n">
        <x:v>1.89</x:v>
      </x:c>
      <x:c r="M13" s="132" t="n">
        <x:f>IFERROR(D12/F13,"")</x:f>
        <x:v>0.1611025641025641</x:v>
      </x:c>
      <x:c r="N13" s="21" t="str">
        <x:v>Visno; Dados de Mercado</x:v>
      </x:c>
      <x:c r="O13" s="21" t="str">
        <x:v>DPA aproximado pela soma de eventos da Visno; Dados de Mercado não mostrou linha anual consolidada.</x:v>
      </x:c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21" t="n">
        <x:v>2016</x:v>
      </x:c>
      <x:c r="B14" s="21" t="str">
        <x:v>Anual</x:v>
      </x:c>
      <x:c r="C14" s="214" t="n">
        <x:v>15.33</x:v>
      </x:c>
      <x:c r="D14" s="214" t="n">
        <x:v>0.031</x:v>
      </x:c>
      <x:c r="E14" s="132" t="n">
        <x:v>0.0011</x:v>
      </x:c>
      <x:c r="F14" s="214" t="n">
        <x:v>2.99</x:v>
      </x:c>
      <x:c r="G14" s="214" t="n">
        <x:v>64.12</x:v>
      </x:c>
      <x:c r="H14" s="132" t="n">
        <x:v>0.0667</x:v>
      </x:c>
      <x:c r="I14" s="134" t="n">
        <x:v>9.39</x:v>
      </x:c>
      <x:c r="J14" s="134" t="n">
        <x:v>0.44</x:v>
      </x:c>
      <x:c r="K14" s="214" t="n">
        <x:v>0.13068</x:v>
      </x:c>
      <x:c r="L14" s="214" t="n">
        <x:v>1.96</x:v>
      </x:c>
      <x:c r="M14" s="132"/>
      <x:c r="N14" s="21" t="str">
        <x:v>Dados de Mercado; Visno; InfoMoney</x:v>
      </x:c>
      <x:c r="O14" s="21" t="str">
        <x:v>Grupamento 100:1 em 22/08/2016; dados antigos por ação são menos comparáveis.</x:v>
      </x:c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96"/>
      <x:c r="B15" s="96"/>
      <x:c r="C15" s="96"/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96"/>
      <x:c r="B16" s="96"/>
      <x:c r="C16" s="96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96"/>
      <x:c r="B17" s="96"/>
      <x:c r="C17" s="96"/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96"/>
      <x:c r="B18" s="96"/>
      <x:c r="C18" s="96"/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96"/>
      <x:c r="B19" s="96"/>
      <x:c r="C19" s="96"/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96"/>
      <x:c r="B20" s="96"/>
      <x:c r="C20" s="96"/>
      <x:c r="D20" s="96"/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96"/>
      <x:c r="B21" s="96"/>
      <x:c r="C21" s="96"/>
      <x:c r="D21" s="96"/>
      <x:c r="E21" s="96"/>
      <x:c r="F21" s="96"/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96"/>
      <x:c r="B22" s="96"/>
      <x:c r="C22" s="96"/>
      <x:c r="D22" s="96"/>
      <x:c r="E22" s="96"/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96"/>
      <x:c r="B23" s="96"/>
      <x:c r="C23" s="96"/>
      <x:c r="D23" s="96"/>
      <x:c r="E23" s="96"/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96"/>
      <x:c r="B24" s="96"/>
      <x:c r="C24" s="96"/>
      <x:c r="D24" s="96"/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96"/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96"/>
      <x:c r="B26" s="96"/>
      <x:c r="C26" s="96"/>
      <x:c r="D26" s="96"/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96"/>
      <x:c r="B27" s="96"/>
      <x:c r="C27" s="96"/>
      <x:c r="D27" s="96"/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96"/>
      <x:c r="B29" s="9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96"/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96"/>
      <x:c r="B31" s="96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/>
      <x:c r="B32" s="96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/>
      <x:c r="B33" s="96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/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96"/>
      <x:c r="B42" s="96"/>
      <x:c r="C42" s="96"/>
      <x:c r="D42" s="96"/>
      <x:c r="E42" s="96"/>
      <x:c r="F42" s="96"/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96"/>
      <x:c r="B43" s="96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/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/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/>
      <x:c r="B46" s="96"/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/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/>
      <x:c r="B51" s="96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/>
      <x:c r="B52" s="96"/>
      <x:c r="C52" s="96"/>
      <x:c r="D52" s="96"/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/>
      <x:c r="B53" s="96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O1"/>
  </x:mergeCells>
  <x:pageMargins left="0.7" right="0.7" top="0.75" bottom="0.75" header="0.3" footer="0.3"/>
  <x:tableParts count="2">
    <x:tablePart xmlns:r="http://schemas.openxmlformats.org/officeDocument/2006/relationships" r:id="R26a80d8cd7674523"/>
    <x:tablePart xmlns:r="http://schemas.openxmlformats.org/officeDocument/2006/relationships" r:id="Re5207cef833f49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60" hidden="0" customWidth="1"/>
    <x:col min="4" max="4" width="22" hidden="0" customWidth="1"/>
    <x:col min="5" max="5" width="54" hidden="0" customWidth="1"/>
    <x:col min="6" max="6" width="52" hidden="0" customWidth="1"/>
    <x:col min="7" max="7" width="52" hidden="0" customWidth="1"/>
  </x:cols>
  <x:sheetData>
    <x:row r="1">
      <x:c r="A1" s="164" t="str">
        <x:v>Dividendos/JCP — histórico, médias e observações</x:v>
      </x:c>
      <x:c r="B1" s="164"/>
      <x:c r="C1" s="164"/>
      <x:c r="D1" s="164"/>
      <x:c r="E1" s="164"/>
      <x:c r="F1" s="164"/>
      <x:c r="G1" s="164"/>
      <x:c r="H1" s="164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Métrica</x:v>
      </x:c>
      <x:c r="B3" s="165" t="str">
        <x:v>Valor</x:v>
      </x:c>
      <x:c r="C3" s="165" t="str">
        <x:v>Fórmula/nota</x:v>
      </x:c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96" t="str">
        <x:v>DPA médio 5a (2021-2025)</x:v>
      </x:c>
      <x:c r="B4" s="212" t="n">
        <x:f>AVERAGE(B12:B16)</x:f>
        <x:v>5.776830799999999</x:v>
      </x:c>
      <x:c r="C4" s="96" t="str">
        <x:v>Média dos proventos por ação no calendário.</x:v>
      </x:c>
      <x:c r="D4" s="96"/>
      <x:c r="E4" s="96"/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96" t="str">
        <x:v>DY médio 5a (2021-2025)</x:v>
      </x:c>
      <x:c r="B5" s="171" t="n">
        <x:f>AVERAGE(C12:C16)</x:f>
        <x:v>0.08556</x:v>
      </x:c>
      <x:c r="C5" s="96" t="str">
        <x:v>Média simples do DY por ano.</x:v>
      </x:c>
      <x:c r="D5" s="96"/>
      <x:c r="E5" s="96"/>
      <x:c r="F5" s="96"/>
      <x:c r="G5" s="96"/>
      <x:c r="H5" s="96"/>
      <x:c r="I5" s="96"/>
      <x:c r="J5" s="96"/>
      <x:c r="K5" s="96"/>
      <x:c r="L5" s="96"/>
      <x:c r="M5" s="96"/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96" t="str">
        <x:v>DPA 2026 declarado</x:v>
      </x:c>
      <x:c r="B6" s="212" t="n">
        <x:f>B11</x:f>
        <x:v>11.943465</x:v>
      </x:c>
      <x:c r="C6" s="96" t="str">
        <x:v>Já ficou ex em 10/06/2026; não entra no retorno se a compra for depois da data-ex.</x:v>
      </x:c>
      <x:c r="D6" s="96"/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96" t="str">
        <x:v>Dividendos 10a cenário Base</x:v>
      </x:c>
      <x:c r="B7" s="212" t="n">
        <x:f>'Valuation 10a'!F5</x:f>
        <x:v>74090.45205639926</x:v>
      </x:c>
      <x:c r="C7" s="96" t="str">
        <x:v>Modelo sem reinvestimento; antes de impostos.</x:v>
      </x:c>
      <x:c r="D7" s="96"/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96"/>
      <x:c r="B8" s="96"/>
      <x:c r="C8" s="96"/>
      <x:c r="D8" s="96"/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96"/>
      <x:c r="B9" s="96"/>
      <x:c r="C9" s="96"/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65" t="str">
        <x:v>Ano</x:v>
      </x:c>
      <x:c r="B10" s="165" t="str">
        <x:v>DPA calendário (R$/ação)</x:v>
      </x:c>
      <x:c r="C10" s="165" t="str">
        <x:v>DY</x:v>
      </x:c>
      <x:c r="D10" s="165" t="str">
        <x:v>Recebimento c/ 814 ações (R$)</x:v>
      </x:c>
      <x:c r="E10" s="165" t="str">
        <x:v>Observação</x:v>
      </x:c>
      <x:c r="F10" s="165" t="str">
        <x:v>Fonte URL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21" t="n">
        <x:v>2026</x:v>
      </x:c>
      <x:c r="B11" s="214" t="n">
        <x:v>11.943465</x:v>
      </x:c>
      <x:c r="C11" s="132" t="n">
        <x:v>0.1945</x:v>
      </x:c>
      <x:c r="D11" s="214" t="n">
        <x:f>B11*Inputs!$B$6</x:f>
        <x:v>9721.98051</x:v>
      </x:c>
      <x:c r="E11" s="21" t="str">
        <x:v>Data-com 09/06/2026; ex 10/06/2026; pagamento em junho/2026. Não entra no retorno se comprar após a data-ex.</x:v>
      </x:c>
      <x:c r="F11" s="21" t="str">
        <x:v>https://www.dadosdemercado.com.br/acoes/baza3/dividendos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21" t="n">
        <x:v>2025</x:v>
      </x:c>
      <x:c r="B12" s="214" t="n">
        <x:v>7.703077</x:v>
      </x:c>
      <x:c r="C12" s="132" t="n">
        <x:v>0.099</x:v>
      </x:c>
      <x:c r="D12" s="214" t="n">
        <x:f>B12*Inputs!$B$6</x:f>
        <x:v>6270.304678</x:v>
      </x:c>
      <x:c r="E12" s="21" t="str">
        <x:v>JCP 7,108618 + dividendo 0,594459.</x:v>
      </x:c>
      <x:c r="F12" s="21" t="str">
        <x:v>https://www.dadosdemercado.com.br/acoes/baza3/dividendos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21" t="n">
        <x:v>2024</x:v>
      </x:c>
      <x:c r="B13" s="214" t="n">
        <x:v>6.625162</x:v>
      </x:c>
      <x:c r="C13" s="132" t="n">
        <x:v>0.0771</x:v>
      </x:c>
      <x:c r="D13" s="214" t="n">
        <x:f>B13*Inputs!$B$6</x:f>
        <x:v>5392.881868</x:v>
      </x:c>
      <x:c r="E13" s="21" t="str">
        <x:v>JCP 6,386094 + dividendo 0,239067.</x:v>
      </x:c>
      <x:c r="F13" s="21" t="str">
        <x:v>https://www.dadosdemercado.com.br/acoes/baza3/dividendos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21" t="n">
        <x:v>2023</x:v>
      </x:c>
      <x:c r="B14" s="214" t="n">
        <x:v>5.329841</x:v>
      </x:c>
      <x:c r="C14" s="132" t="n">
        <x:v>0.0561</x:v>
      </x:c>
      <x:c r="D14" s="214" t="n">
        <x:f>B14*Inputs!$B$6</x:f>
        <x:v>4338.490574</x:v>
      </x:c>
      <x:c r="E14" s="21" t="str">
        <x:v>JCP 4,203687 + dividendo 1,126154.</x:v>
      </x:c>
      <x:c r="F14" s="21" t="str">
        <x:v>https://www.dadosdemercado.com.br/acoes/baza3/dividendos</x:v>
      </x:c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21" t="n">
        <x:v>2022</x:v>
      </x:c>
      <x:c r="B15" s="214" t="n">
        <x:v>6.62766</x:v>
      </x:c>
      <x:c r="C15" s="132" t="n">
        <x:v>0.1327</x:v>
      </x:c>
      <x:c r="D15" s="214" t="n">
        <x:f>B15*Inputs!$B$6</x:f>
        <x:v>5394.915239999999</x:v>
      </x:c>
      <x:c r="E15" s="21" t="str">
        <x:v>JCP 4,789455 + dividendo 1,838205.</x:v>
      </x:c>
      <x:c r="F15" s="21" t="str">
        <x:v>https://www.dadosdemercado.com.br/acoes/baza3/dividendos</x:v>
      </x:c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21" t="n">
        <x:v>2021</x:v>
      </x:c>
      <x:c r="B16" s="214" t="n">
        <x:v>2.598414</x:v>
      </x:c>
      <x:c r="C16" s="132" t="n">
        <x:v>0.0629</x:v>
      </x:c>
      <x:c r="D16" s="214" t="n">
        <x:f>B16*Inputs!$B$6</x:f>
        <x:v>2115.108996</x:v>
      </x:c>
      <x:c r="E16" s="21" t="str">
        <x:v>JCP 2,579760 + dividendo 0,018654.</x:v>
      </x:c>
      <x:c r="F16" s="21" t="str">
        <x:v>https://www.dadosdemercado.com.br/acoes/baza3/dividendos</x:v>
      </x:c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21" t="n">
        <x:v>2020</x:v>
      </x:c>
      <x:c r="B17" s="214" t="n">
        <x:v>3.5428</x:v>
      </x:c>
      <x:c r="C17" s="132" t="n">
        <x:v>0.084</x:v>
      </x:c>
      <x:c r="D17" s="214" t="n">
        <x:f>B17*Inputs!$B$6</x:f>
        <x:v>2883.8392000000003</x:v>
      </x:c>
      <x:c r="E17" s="21" t="str">
        <x:v>JCP 3,542800.</x:v>
      </x:c>
      <x:c r="F17" s="21" t="str">
        <x:v>https://www.dadosdemercado.com.br/acoes/baza3/dividendos</x:v>
      </x:c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21" t="n">
        <x:v>2019</x:v>
      </x:c>
      <x:c r="B18" s="214" t="n">
        <x:v>1.4091</x:v>
      </x:c>
      <x:c r="C18" s="132" t="n">
        <x:v>0.0352</x:v>
      </x:c>
      <x:c r="D18" s="214" t="n">
        <x:f>B18*Inputs!$B$6</x:f>
        <x:v>1147.0074</x:v>
      </x:c>
      <x:c r="E18" s="21" t="str">
        <x:v>JCP 1,409100.</x:v>
      </x:c>
      <x:c r="F18" s="21" t="str">
        <x:v>https://www.dadosdemercado.com.br/acoes/baza3/dividendos</x:v>
      </x:c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21" t="n">
        <x:v>2018</x:v>
      </x:c>
      <x:c r="B19" s="214" t="n">
        <x:v>0.6283</x:v>
      </x:c>
      <x:c r="C19" s="132" t="n">
        <x:v>0.0263</x:v>
      </x:c>
      <x:c r="D19" s="214" t="n">
        <x:f>B19*Inputs!$B$6</x:f>
        <x:v>511.4362</x:v>
      </x:c>
      <x:c r="E19" s="21" t="str">
        <x:v>JCP 0,628300.</x:v>
      </x:c>
      <x:c r="F19" s="21" t="str">
        <x:v>https://www.dadosdemercado.com.br/acoes/baza3/dividendos</x:v>
      </x:c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21" t="n">
        <x:v>2017</x:v>
      </x:c>
      <x:c r="B20" s="214" t="n">
        <x:v>0.633</x:v>
      </x:c>
      <x:c r="C20" s="132" t="n">
        <x:v>0.0455</x:v>
      </x:c>
      <x:c r="D20" s="214" t="n">
        <x:f>B20*Inputs!$B$6</x:f>
        <x:v>515.2620000000001</x:v>
      </x:c>
      <x:c r="E20" s="21" t="str">
        <x:v>Aprox. por eventos Visno: JCP 0,61 + rendimento 0,02.</x:v>
      </x:c>
      <x:c r="F20" s="21" t="str">
        <x:v>https://visnoinvest.com.br/stocks/BAZA3</x:v>
      </x:c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21" t="n">
        <x:v>2016</x:v>
      </x:c>
      <x:c r="B21" s="214" t="n">
        <x:v>0.031</x:v>
      </x:c>
      <x:c r="C21" s="132" t="n">
        <x:v>0.0011</x:v>
      </x:c>
      <x:c r="D21" s="214" t="n">
        <x:f>B21*Inputs!$B$6</x:f>
        <x:v>25.233999999999998</x:v>
      </x:c>
      <x:c r="E21" s="21" t="str">
        <x:v>Dados de Mercado ajustados; ano do grupamento 100:1.</x:v>
      </x:c>
      <x:c r="F21" s="21" t="str">
        <x:v>https://www.dadosdemercado.com.br/acoes/baza3/dividendos</x:v>
      </x:c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96"/>
      <x:c r="B22" s="96"/>
      <x:c r="C22" s="96"/>
      <x:c r="D22" s="96"/>
      <x:c r="E22" s="96"/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96"/>
      <x:c r="B23" s="96"/>
      <x:c r="C23" s="96"/>
      <x:c r="D23" s="96"/>
      <x:c r="E23" s="96"/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96"/>
      <x:c r="B24" s="96"/>
      <x:c r="C24" s="96"/>
      <x:c r="D24" s="96"/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65" t="str">
        <x:v>Tipo</x:v>
      </x:c>
      <x:c r="B25" s="165" t="str">
        <x:v>Valor (R$/ação)</x:v>
      </x:c>
      <x:c r="C25" s="165" t="str">
        <x:v>Data com</x:v>
      </x:c>
      <x:c r="D25" s="165" t="str">
        <x:v>Data ex</x:v>
      </x:c>
      <x:c r="E25" s="165" t="str">
        <x:v>Pagamento</x:v>
      </x:c>
      <x:c r="F25" s="165" t="str">
        <x:v>Fonte URL</x:v>
      </x:c>
      <x:c r="G25" s="165" t="str">
        <x:v>Observação</x:v>
      </x:c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21" t="str">
        <x:v>Dividendo</x:v>
      </x:c>
      <x:c r="B26" s="214" t="n">
        <x:v>0.676193</x:v>
      </x:c>
      <x:c r="C26" s="142" t="n">
        <x:v>46182</x:v>
      </x:c>
      <x:c r="D26" s="142" t="n">
        <x:v>46183</x:v>
      </x:c>
      <x:c r="E26" s="142" t="n">
        <x:v>46190</x:v>
      </x:c>
      <x:c r="F26" s="21" t="str">
        <x:v>https://www.dadosdemercado.com.br/acoes/baza3/dividendos</x:v>
      </x:c>
      <x:c r="G26" s="21" t="str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21" t="str">
        <x:v>Dividendo</x:v>
      </x:c>
      <x:c r="B27" s="214" t="n">
        <x:v>3.769417</x:v>
      </x:c>
      <x:c r="C27" s="142" t="n">
        <x:v>46182</x:v>
      </x:c>
      <x:c r="D27" s="142" t="n">
        <x:v>46183</x:v>
      </x:c>
      <x:c r="E27" s="142" t="n">
        <x:v>46190</x:v>
      </x:c>
      <x:c r="F27" s="21" t="str">
        <x:v>https://www.dadosdemercado.com.br/acoes/baza3/dividendos</x:v>
      </x:c>
      <x:c r="G27" s="21" t="str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21" t="str">
        <x:v>JCP</x:v>
      </x:c>
      <x:c r="B28" s="214" t="n">
        <x:v>7.497855</x:v>
      </x:c>
      <x:c r="C28" s="142" t="n">
        <x:v>46182</x:v>
      </x:c>
      <x:c r="D28" s="142" t="n">
        <x:v>46183</x:v>
      </x:c>
      <x:c r="E28" s="142" t="n">
        <x:v>46190</x:v>
      </x:c>
      <x:c r="F28" s="21" t="str">
        <x:v>https://www.dadosdemercado.com.br/acoes/baza3/dividendos</x:v>
      </x:c>
      <x:c r="G28" s="21" t="str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21" t="str">
        <x:v>JCP</x:v>
      </x:c>
      <x:c r="B29" s="214" t="n">
        <x:v>7.108618</x:v>
      </x:c>
      <x:c r="C29" s="142" t="n">
        <x:v>45775</x:v>
      </x:c>
      <x:c r="D29" s="142" t="n">
        <x:v>45776</x:v>
      </x:c>
      <x:c r="E29" s="142" t="n">
        <x:v>45785</x:v>
      </x:c>
      <x:c r="F29" s="21" t="str">
        <x:v>https://www.dadosdemercado.com.br/acoes/baza3/dividendos</x:v>
      </x:c>
      <x:c r="G29" s="21" t="str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21" t="str">
        <x:v>Dividendo</x:v>
      </x:c>
      <x:c r="B30" s="214" t="n">
        <x:v>0.594459</x:v>
      </x:c>
      <x:c r="C30" s="142" t="n">
        <x:v>45775</x:v>
      </x:c>
      <x:c r="D30" s="142" t="n">
        <x:v>45776</x:v>
      </x:c>
      <x:c r="E30" s="142" t="n">
        <x:v>45785</x:v>
      </x:c>
      <x:c r="F30" s="21" t="str">
        <x:v>https://www.dadosdemercado.com.br/acoes/baza3/dividendos</x:v>
      </x:c>
      <x:c r="G30" s="21" t="str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21" t="str">
        <x:v>JCP</x:v>
      </x:c>
      <x:c r="B31" s="214" t="n">
        <x:v>6.386094</x:v>
      </x:c>
      <x:c r="C31" s="142" t="n">
        <x:v>45408</x:v>
      </x:c>
      <x:c r="D31" s="142" t="n">
        <x:v>45411</x:v>
      </x:c>
      <x:c r="E31" s="142" t="n">
        <x:v>45420</x:v>
      </x:c>
      <x:c r="F31" s="21" t="str">
        <x:v>https://www.dadosdemercado.com.br/acoes/baza3/dividendos</x:v>
      </x:c>
      <x:c r="G31" s="21" t="str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21" t="str">
        <x:v>Dividendo</x:v>
      </x:c>
      <x:c r="B32" s="214" t="n">
        <x:v>0.239067</x:v>
      </x:c>
      <x:c r="C32" s="142" t="n">
        <x:v>45408</x:v>
      </x:c>
      <x:c r="D32" s="142" t="n">
        <x:v>45411</x:v>
      </x:c>
      <x:c r="E32" s="142" t="n">
        <x:v>45420</x:v>
      </x:c>
      <x:c r="F32" s="21" t="str">
        <x:v>https://www.dadosdemercado.com.br/acoes/baza3/dividendos</x:v>
      </x:c>
      <x:c r="G32" s="21" t="str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21" t="str">
        <x:v>JCP</x:v>
      </x:c>
      <x:c r="B33" s="214" t="n">
        <x:v>4.203687</x:v>
      </x:c>
      <x:c r="C33" s="142" t="n">
        <x:v>45040</x:v>
      </x:c>
      <x:c r="D33" s="142" t="n">
        <x:v>45041</x:v>
      </x:c>
      <x:c r="E33" s="142" t="n">
        <x:v>45050</x:v>
      </x:c>
      <x:c r="F33" s="21" t="str">
        <x:v>https://www.dadosdemercado.com.br/acoes/baza3/dividendos</x:v>
      </x:c>
      <x:c r="G33" s="21" t="str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21" t="str">
        <x:v>Dividendo</x:v>
      </x:c>
      <x:c r="B34" s="214" t="n">
        <x:v>1.126154</x:v>
      </x:c>
      <x:c r="C34" s="142" t="n">
        <x:v>45040</x:v>
      </x:c>
      <x:c r="D34" s="142" t="n">
        <x:v>45041</x:v>
      </x:c>
      <x:c r="E34" s="142" t="n">
        <x:v>45050</x:v>
      </x:c>
      <x:c r="F34" s="21" t="str">
        <x:v>https://www.dadosdemercado.com.br/acoes/baza3/dividendos</x:v>
      </x:c>
      <x:c r="G34" s="21" t="str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21" t="str">
        <x:v>Dividendo</x:v>
      </x:c>
      <x:c r="B35" s="214" t="n">
        <x:v>1.838205</x:v>
      </x:c>
      <x:c r="C35" s="142" t="n">
        <x:v>44680</x:v>
      </x:c>
      <x:c r="D35" s="142" t="n">
        <x:v>44683</x:v>
      </x:c>
      <x:c r="E35" s="142" t="n">
        <x:v>44692</x:v>
      </x:c>
      <x:c r="F35" s="21" t="str">
        <x:v>https://www.dadosdemercado.com.br/acoes/baza3/dividendos</x:v>
      </x:c>
      <x:c r="G35" s="21" t="str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21" t="str">
        <x:v>JCP</x:v>
      </x:c>
      <x:c r="B36" s="214" t="n">
        <x:v>4.789455</x:v>
      </x:c>
      <x:c r="C36" s="142" t="n">
        <x:v>44680</x:v>
      </x:c>
      <x:c r="D36" s="142" t="n">
        <x:v>44683</x:v>
      </x:c>
      <x:c r="E36" s="142" t="n">
        <x:v>44692</x:v>
      </x:c>
      <x:c r="F36" s="21" t="str">
        <x:v>https://www.dadosdemercado.com.br/acoes/baza3/dividendos</x:v>
      </x:c>
      <x:c r="G36" s="21" t="str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21" t="str">
        <x:v>JCP</x:v>
      </x:c>
      <x:c r="B37" s="214" t="n">
        <x:v>2.57976</x:v>
      </x:c>
      <x:c r="C37" s="142" t="n">
        <x:v>44313</x:v>
      </x:c>
      <x:c r="D37" s="142" t="n">
        <x:v>44314</x:v>
      </x:c>
      <x:c r="E37" s="142" t="n">
        <x:v>44321</x:v>
      </x:c>
      <x:c r="F37" s="21" t="str">
        <x:v>https://www.dadosdemercado.com.br/acoes/baza3/dividendos</x:v>
      </x:c>
      <x:c r="G37" s="21" t="str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21" t="str">
        <x:v>Dividendo</x:v>
      </x:c>
      <x:c r="B38" s="214" t="n">
        <x:v>0.018654</x:v>
      </x:c>
      <x:c r="C38" s="142" t="n">
        <x:v>44308</x:v>
      </x:c>
      <x:c r="D38" s="142" t="n">
        <x:v>44309</x:v>
      </x:c>
      <x:c r="E38" s="142" t="n">
        <x:v>44321</x:v>
      </x:c>
      <x:c r="F38" s="21" t="str">
        <x:v>https://www.dadosdemercado.com.br/acoes/baza3/dividendos</x:v>
      </x:c>
      <x:c r="G38" s="21" t="str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21" t="str">
        <x:v>JCP</x:v>
      </x:c>
      <x:c r="B39" s="214" t="n">
        <x:v>3.5428</x:v>
      </x:c>
      <x:c r="C39" s="142" t="n">
        <x:v>43927</x:v>
      </x:c>
      <x:c r="D39" s="142" t="n">
        <x:v>43928</x:v>
      </x:c>
      <x:c r="E39" s="142" t="n">
        <x:v>43938</x:v>
      </x:c>
      <x:c r="F39" s="21" t="str">
        <x:v>https://www.dadosdemercado.com.br/acoes/baza3/dividendos</x:v>
      </x:c>
      <x:c r="G39" s="21" t="str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21" t="str">
        <x:v>JCP</x:v>
      </x:c>
      <x:c r="B40" s="214" t="n">
        <x:v>1.4091</x:v>
      </x:c>
      <x:c r="C40" s="142" t="n">
        <x:v>43581</x:v>
      </x:c>
      <x:c r="D40" s="142" t="n">
        <x:v>43584</x:v>
      </x:c>
      <x:c r="E40" s="142" t="n">
        <x:v>43594</x:v>
      </x:c>
      <x:c r="F40" s="21" t="str">
        <x:v>https://www.dadosdemercado.com.br/acoes/baza3/dividendos</x:v>
      </x:c>
      <x:c r="G40" s="21" t="str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21" t="str">
        <x:v>JCP</x:v>
      </x:c>
      <x:c r="B41" s="214" t="n">
        <x:v>0.6283</x:v>
      </x:c>
      <x:c r="C41" s="142" t="n">
        <x:v>43213</x:v>
      </x:c>
      <x:c r="D41" s="142" t="n">
        <x:v>43214</x:v>
      </x:c>
      <x:c r="E41" s="142" t="n">
        <x:v>43224</x:v>
      </x:c>
      <x:c r="F41" s="21" t="str">
        <x:v>https://www.dadosdemercado.com.br/acoes/baza3/dividendos</x:v>
      </x:c>
      <x:c r="G41" s="21" t="str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21" t="str">
        <x:v>JCP</x:v>
      </x:c>
      <x:c r="B42" s="214" t="n">
        <x:v>0.68</x:v>
      </x:c>
      <x:c r="C42" s="142" t="n">
        <x:v>42597</x:v>
      </x:c>
      <x:c r="D42" s="142" t="n">
        <x:v>42598</x:v>
      </x:c>
      <x:c r="E42" s="142" t="n">
        <x:v>42688</x:v>
      </x:c>
      <x:c r="F42" s="21" t="str">
        <x:v>https://www.dadosdemercado.com.br/acoes/baza3/dividendos</x:v>
      </x:c>
      <x:c r="G42" s="21" t="str">
        <x:v>Marcado com * na fonte; pré/pós ajustes históricos.</x:v>
      </x:c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21" t="str">
        <x:v>JCP</x:v>
      </x:c>
      <x:c r="B43" s="214" t="n">
        <x:v>2.42</x:v>
      </x:c>
      <x:c r="C43" s="142" t="n">
        <x:v>42468</x:v>
      </x:c>
      <x:c r="D43" s="142" t="n">
        <x:v>42471</x:v>
      </x:c>
      <x:c r="E43" s="142" t="n">
        <x:v>42480</x:v>
      </x:c>
      <x:c r="F43" s="21" t="str">
        <x:v>https://www.dadosdemercado.com.br/acoes/baza3/dividendos</x:v>
      </x:c>
      <x:c r="G43" s="21" t="str">
        <x:v>Marcado com * na fonte; pré/pós ajustes históricos.</x:v>
      </x:c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21" t="str">
        <x:v>JCP</x:v>
      </x:c>
      <x:c r="B44" s="214" t="n">
        <x:v>0.68</x:v>
      </x:c>
      <x:c r="C44" s="142" t="n">
        <x:v>39372</x:v>
      </x:c>
      <x:c r="D44" s="142" t="n">
        <x:v>39373</x:v>
      </x:c>
      <x:c r="E44" s="142" t="n">
        <x:v>39384</x:v>
      </x:c>
      <x:c r="F44" s="21" t="str">
        <x:v>https://www.dadosdemercado.com.br/acoes/baza3/dividendos</x:v>
      </x:c>
      <x:c r="G44" s="21" t="str">
        <x:v>Valor antigo marcado com *; não comparar diretamente com série pós-grupamento.</x:v>
      </x:c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21" t="str">
        <x:v>JCP</x:v>
      </x:c>
      <x:c r="B45" s="214" t="n">
        <x:v>3484.06</x:v>
      </x:c>
      <x:c r="C45" s="142" t="n">
        <x:v>39197</x:v>
      </x:c>
      <x:c r="D45" s="142" t="n">
        <x:v>39198</x:v>
      </x:c>
      <x:c r="E45" s="142" t="n">
        <x:v>39212</x:v>
      </x:c>
      <x:c r="F45" s="21" t="str">
        <x:v>https://www.dadosdemercado.com.br/acoes/baza3/dividendos</x:v>
      </x:c>
      <x:c r="G45" s="21" t="str">
        <x:v>Valor antigo marcado com *; reflete base pré-ajustes.</x:v>
      </x:c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21" t="str">
        <x:v>JCP</x:v>
      </x:c>
      <x:c r="B46" s="214" t="n">
        <x:v>310.39</x:v>
      </x:c>
      <x:c r="C46" s="142" t="n">
        <x:v>39112</x:v>
      </x:c>
      <x:c r="D46" s="142" t="n">
        <x:v>39113</x:v>
      </x:c>
      <x:c r="E46" s="142" t="n">
        <x:v>39126</x:v>
      </x:c>
      <x:c r="F46" s="21" t="str">
        <x:v>https://www.dadosdemercado.com.br/acoes/baza3/dividendos</x:v>
      </x:c>
      <x:c r="G46" s="21" t="str">
        <x:v>Valor antigo marcado com *; reflete base pré-ajustes.</x:v>
      </x:c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166" t="str">
        <x:v>Eventos de split/grupamento que afetam comparabilidade por ação</x:v>
      </x:c>
      <x:c r="B50" s="166"/>
      <x:c r="C50" s="166"/>
      <x:c r="D50" s="166"/>
      <x:c r="E50" s="16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165" t="str">
        <x:v>Data</x:v>
      </x:c>
      <x:c r="B51" s="165" t="str">
        <x:v>Evento</x:v>
      </x:c>
      <x:c r="C51" s="165" t="str">
        <x:v>Descrição</x:v>
      </x:c>
      <x:c r="D51" s="165" t="str">
        <x:v>Proporção informada</x:v>
      </x:c>
      <x:c r="E51" s="165" t="str">
        <x:v>Fonte URL</x:v>
      </x:c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142" t="n">
        <x:v>42604</x:v>
      </x:c>
      <x:c r="B52" s="21" t="str">
        <x:v>Grupamento</x:v>
      </x:c>
      <x:c r="C52" s="21" t="str">
        <x:v>100 ações antigas viraram 1 nova</x:v>
      </x:c>
      <x:c r="D52" s="21" t="str">
        <x:v>0,01:1 em bases de split</x:v>
      </x:c>
      <x:c r="E52" s="21" t="str">
        <x:v>https://www.infomoney.com.br/mercados/acao-de-banco-sofrera-grupamento-de-100-para-1-na-segunda-feira/</x:v>
      </x:c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142" t="n">
        <x:v>45411</x:v>
      </x:c>
      <x:c r="B53" s="21" t="str">
        <x:v>Desdobramento</x:v>
      </x:c>
      <x:c r="C53" s="21" t="str">
        <x:v>1 ação virou 3 ações</x:v>
      </x:c>
      <x:c r="D53" s="21" t="str">
        <x:v>3,00003:1 em bases de split</x:v>
      </x:c>
      <x:c r="E53" s="21" t="str">
        <x:v>https://www.rad.cvm.gov.br/ENET/frmDownloadDocumento.aspx?CodigoInstituicao=1&amp;Tela=ext&amp;descTipo=IPE&amp;numProtocolo=1212686</x:v>
      </x:c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H1"/>
    <x:mergeCell ref="A50:E50"/>
  </x:mergeCells>
  <x:pageMargins left="0.7" right="0.7" top="0.75" bottom="0.75" header="0.3" footer="0.3"/>
  <x:tableParts count="4">
    <x:tablePart xmlns:r="http://schemas.openxmlformats.org/officeDocument/2006/relationships" r:id="R8fb212d5c8c849c7"/>
    <x:tablePart xmlns:r="http://schemas.openxmlformats.org/officeDocument/2006/relationships" r:id="R714c534571944e93"/>
    <x:tablePart xmlns:r="http://schemas.openxmlformats.org/officeDocument/2006/relationships" r:id="R2f76d60581a34ce5"/>
    <x:tablePart xmlns:r="http://schemas.openxmlformats.org/officeDocument/2006/relationships" r:id="R33ffa613735447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18" hidden="0" customWidth="1"/>
  </x:cols>
  <x:sheetData>
    <x:row r="1">
      <x:c r="A1" s="164" t="str">
        <x:v>Valuation 10 anos — BAZA3 com aporte de R$ 50 mil (13/06/2026)</x:v>
      </x:c>
      <x:c r="B1" s="164"/>
      <x:c r="C1" s="164"/>
      <x:c r="D1" s="164"/>
      <x:c r="E1" s="164"/>
      <x:c r="F1" s="164"/>
      <x:c r="G1" s="164"/>
      <x:c r="H1" s="164"/>
      <x:c r="I1" s="164"/>
      <x:c r="J1" s="164"/>
      <x:c r="K1" s="164"/>
      <x:c r="L1" s="164"/>
      <x:c r="M1" s="164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Cenário</x:v>
      </x:c>
      <x:c r="B3" s="165" t="str">
        <x:v>ROE</x:v>
      </x:c>
      <x:c r="C3" s="165" t="str">
        <x:v>Payout</x:v>
      </x:c>
      <x:c r="D3" s="165" t="str">
        <x:v>P/VP saída</x:v>
      </x:c>
      <x:c r="E3" s="165" t="str">
        <x:v>DPA total/ação</x:v>
      </x:c>
      <x:c r="F3" s="165" t="str">
        <x:v>Dividendos totais (R$)</x:v>
      </x:c>
      <x:c r="G3" s="165" t="str">
        <x:v>VPA ano 10</x:v>
      </x:c>
      <x:c r="H3" s="165" t="str">
        <x:v>Preço saída</x:v>
      </x:c>
      <x:c r="I3" s="165" t="str">
        <x:v>Valor final (R$)</x:v>
      </x:c>
      <x:c r="J3" s="165" t="str">
        <x:v>Retorno total</x:v>
      </x:c>
      <x:c r="K3" s="165" t="str">
        <x:v>CAGR</x:v>
      </x:c>
      <x:c r="L3" s="165" t="str">
        <x:v>Dividendos/Capital</x:v>
      </x:c>
      <x:c r="M3" s="165" t="str">
        <x:v>Valorização preço</x:v>
      </x:c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96" t="str">
        <x:v>Conservador</x:v>
      </x:c>
      <x:c r="B4" s="182" t="n">
        <x:f>Inputs!B26</x:f>
        <x:v>0.08</x:v>
      </x:c>
      <x:c r="C4" s="182" t="n">
        <x:f>Inputs!C26</x:f>
        <x:v>0.25</x:v>
      </x:c>
      <x:c r="D4" s="183" t="n">
        <x:f>Inputs!D26</x:f>
        <x:v>0.35</x:v>
      </x:c>
      <x:c r="E4" s="216" t="n">
        <x:f>Inputs!$B$8*B4*C4*IF(B4*(1-C4)=0,Inputs!$B$15,((1+B4*(1-C4))^Inputs!$B$15-1)/(B4*(1-C4)))</x:f>
        <x:v>33.777105119345315</x:v>
      </x:c>
      <x:c r="F4" s="216" t="n">
        <x:f>E4*Inputs!$B$6</x:f>
        <x:v>27494.563567147085</x:v>
      </x:c>
      <x:c r="G4" s="216" t="n">
        <x:f>Inputs!$B$8*(1+B4*(1-C4))^Inputs!$B$15</x:f>
        <x:v>229.46131535803596</x:v>
      </x:c>
      <x:c r="H4" s="216" t="n">
        <x:f>G4*D4</x:f>
        <x:v>80.31146037531258</x:v>
      </x:c>
      <x:c r="I4" s="218" t="n">
        <x:f>F4+H4*Inputs!$B$6+Inputs!$B$7</x:f>
        <x:v>92872.21231265152</x:v>
      </x:c>
      <x:c r="J4" s="188" t="n">
        <x:f>I4/Inputs!$B$4-1</x:f>
        <x:v>0.8574442462530305</x:v>
      </x:c>
      <x:c r="K4" s="188" t="n">
        <x:f>(I4/Inputs!$B$4)^(1/Inputs!$B$15)-1</x:f>
        <x:v>0.0638773887779518</x:v>
      </x:c>
      <x:c r="L4" s="188" t="n">
        <x:f>F4/Inputs!$B$4</x:f>
        <x:v>0.5498912713429417</x:v>
      </x:c>
      <x:c r="M4" s="188" t="n">
        <x:f>H4/Inputs!$B$5-1</x:f>
        <x:v>0.30757831936360436</x:v>
      </x:c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96" t="str">
        <x:v>Base</x:v>
      </x:c>
      <x:c r="B5" s="182" t="n">
        <x:f>Inputs!B27</x:f>
        <x:v>0.13</x:v>
      </x:c>
      <x:c r="C5" s="182" t="n">
        <x:f>Inputs!C27</x:f>
        <x:v>0.37496432314732175</x:v>
      </x:c>
      <x:c r="D5" s="183" t="n">
        <x:f>Inputs!D27</x:f>
        <x:v>0.55</x:v>
      </x:c>
      <x:c r="E5" s="216" t="n">
        <x:f>Inputs!$B$8*B5*C5*IF(B5*(1-C5)=0,Inputs!$B$15,((1+B5*(1-C5))^Inputs!$B$15-1)/(B5*(1-C5)))</x:f>
        <x:v>91.02021137149787</x:v>
      </x:c>
      <x:c r="F5" s="216" t="n">
        <x:f>E5*Inputs!$B$6</x:f>
        <x:v>74090.45205639926</x:v>
      </x:c>
      <x:c r="G5" s="216" t="n">
        <x:f>Inputs!$B$8*(1+B5*(1-C5))^Inputs!$B$15</x:f>
        <x:v>279.8534464984175</x:v>
      </x:c>
      <x:c r="H5" s="216" t="n">
        <x:f>G5*D5</x:f>
        <x:v>153.91939557412962</x:v>
      </x:c>
      <x:c r="I5" s="218" t="n">
        <x:f>F5+H5*Inputs!$B$6+Inputs!$B$7</x:f>
        <x:v>199384.96005374077</x:v>
      </x:c>
      <x:c r="J5" s="188" t="n">
        <x:f>I5/Inputs!$B$4-1</x:f>
        <x:v>2.9876992010748156</x:v>
      </x:c>
      <x:c r="K5" s="188" t="n">
        <x:f>(I5/Inputs!$B$4)^(1/Inputs!$B$15)-1</x:f>
        <x:v>0.1483446175173333</x:v>
      </x:c>
      <x:c r="L5" s="188" t="n">
        <x:f>F5/Inputs!$B$4</x:f>
        <x:v>1.4818090411279852</x:v>
      </x:c>
      <x:c r="M5" s="188" t="n">
        <x:f>H5/Inputs!$B$5-1</x:f>
        <x:v>1.5060142555214853</x:v>
      </x:c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96" t="str">
        <x:v>Otimista</x:v>
      </x:c>
      <x:c r="B6" s="182" t="n">
        <x:f>Inputs!B28</x:f>
        <x:v>0.17</x:v>
      </x:c>
      <x:c r="C6" s="182" t="n">
        <x:f>Inputs!C28</x:f>
        <x:v>0.45</x:v>
      </x:c>
      <x:c r="D6" s="183" t="n">
        <x:f>Inputs!D28</x:f>
        <x:v>0.75</x:v>
      </x:c>
      <x:c r="E6" s="216" t="n">
        <x:f>Inputs!$B$8*B6*C6*IF(B6*(1-C6)=0,Inputs!$B$15,((1+B6*(1-C6))^Inputs!$B$15-1)/(B6*(1-C6)))</x:f>
        <x:v>151.43090853098852</x:v>
      </x:c>
      <x:c r="F6" s="216" t="n">
        <x:f>E6*Inputs!$B$6</x:f>
        <x:v>123264.75954422465</x:v>
      </x:c>
      <x:c r="G6" s="216" t="n">
        <x:f>Inputs!$B$8*(1+B6*(1-C6))^Inputs!$B$15</x:f>
        <x:v>313.2122215378749</x:v>
      </x:c>
      <x:c r="H6" s="216" t="n">
        <x:f>G6*D6</x:f>
        <x:v>234.90916615340615</x:v>
      </x:c>
      <x:c r="I6" s="218" t="n">
        <x:f>F6+H6*Inputs!$B$6+Inputs!$B$7</x:f>
        <x:v>314484.94079309725</x:v>
      </x:c>
      <x:c r="J6" s="188" t="n">
        <x:f>I6/Inputs!$B$4-1</x:f>
        <x:v>5.289698815861945</x:v>
      </x:c>
      <x:c r="K6" s="188" t="n">
        <x:f>(I6/Inputs!$B$4)^(1/Inputs!$B$15)-1</x:f>
        <x:v>0.2018851934991781</x:v>
      </x:c>
      <x:c r="L6" s="188" t="n">
        <x:f>F6/Inputs!$B$4</x:f>
        <x:v>2.465295190884493</x:v>
      </x:c>
      <x:c r="M6" s="188" t="n">
        <x:f>H6/Inputs!$B$5-1</x:f>
        <x:v>2.8246363750147534</x:v>
      </x:c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96"/>
      <x:c r="B7" s="96"/>
      <x:c r="C7" s="96"/>
      <x:c r="D7" s="96"/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96"/>
      <x:c r="B8" s="96"/>
      <x:c r="C8" s="96"/>
      <x:c r="D8" s="96"/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96"/>
      <x:c r="B9" s="96"/>
      <x:c r="C9" s="96"/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66" t="str">
        <x:v>Detalhe anual — Conservador</x:v>
      </x:c>
      <x:c r="B10" s="166"/>
      <x:c r="C10" s="166"/>
      <x:c r="D10" s="166"/>
      <x:c r="E10" s="166"/>
      <x:c r="F10" s="166"/>
      <x:c r="G10" s="166"/>
      <x:c r="H10" s="166"/>
      <x:c r="I10" s="166"/>
      <x:c r="J10" s="166"/>
      <x:c r="K10" s="166"/>
      <x:c r="L10" s="16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65" t="str">
        <x:v>Ano</x:v>
      </x:c>
      <x:c r="B11" s="165" t="str">
        <x:v>VPA início</x:v>
      </x:c>
      <x:c r="C11" s="165" t="str">
        <x:v>ROE</x:v>
      </x:c>
      <x:c r="D11" s="165" t="str">
        <x:v>LPA/EPS</x:v>
      </x:c>
      <x:c r="E11" s="165" t="str">
        <x:v>Payout</x:v>
      </x:c>
      <x:c r="F11" s="165" t="str">
        <x:v>DPA</x:v>
      </x:c>
      <x:c r="G11" s="165" t="str">
        <x:v>VPA final</x:v>
      </x:c>
      <x:c r="H11" s="165" t="str">
        <x:v>Ações</x:v>
      </x:c>
      <x:c r="I11" s="165" t="str">
        <x:v>Dividendo no ano</x:v>
      </x:c>
      <x:c r="J11" s="165" t="str">
        <x:v>Preço saída</x:v>
      </x:c>
      <x:c r="K11" s="165" t="str">
        <x:v>Valor final (ano 10)</x:v>
      </x:c>
      <x:c r="L11" s="165" t="str">
        <x:v>Obs.</x:v>
      </x:c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96" t="n">
        <x:v>1</x:v>
      </x:c>
      <x:c r="B12" s="220" t="n">
        <x:f>Inputs!$B$8</x:f>
        <x:v>128.13</x:v>
      </x:c>
      <x:c r="C12" s="98" t="n">
        <x:f>$B$4</x:f>
        <x:v>0.08</x:v>
      </x:c>
      <x:c r="D12" s="220" t="n">
        <x:f>B12*C12</x:f>
        <x:v>10.250399999999999</x:v>
      </x:c>
      <x:c r="E12" s="98" t="n">
        <x:f>$C$4</x:f>
        <x:v>0.25</x:v>
      </x:c>
      <x:c r="F12" s="220" t="n">
        <x:f>D12*E12</x:f>
        <x:v>2.5625999999999998</x:v>
      </x:c>
      <x:c r="G12" s="220" t="n">
        <x:f>B12+D12-F12</x:f>
        <x:v>135.8178</x:v>
      </x:c>
      <x:c r="H12" s="99" t="n">
        <x:f>Inputs!$B$6</x:f>
        <x:v>814</x:v>
      </x:c>
      <x:c r="I12" s="224" t="n">
        <x:f>F12*H12</x:f>
        <x:v>2085.9564</x:v>
      </x:c>
      <x:c r="J12" s="224" t="str">
        <x:f>IF(A12=Inputs!$B$15,G12*$D$4,"")</x:f>
      </x:c>
      <x:c r="K12" s="224" t="str">
        <x:f>IF(A12=Inputs!$B$15,J12*H12+SUM($I$12:I12)+Inputs!$B$7,"")</x:f>
      </x:c>
      <x:c r="L12" s="96" t="str">
        <x:v>antes de impostos; JCP sofre IRRF</x:v>
      </x:c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96" t="n">
        <x:v>2</x:v>
      </x:c>
      <x:c r="B13" s="220" t="n">
        <x:f>G12</x:f>
        <x:v>135.8178</x:v>
      </x:c>
      <x:c r="C13" s="98" t="n">
        <x:f>$B$4</x:f>
        <x:v>0.08</x:v>
      </x:c>
      <x:c r="D13" s="220" t="n">
        <x:f>B13*C13</x:f>
        <x:v>10.865424</x:v>
      </x:c>
      <x:c r="E13" s="98" t="n">
        <x:f>$C$4</x:f>
        <x:v>0.25</x:v>
      </x:c>
      <x:c r="F13" s="220" t="n">
        <x:f>D13*E13</x:f>
        <x:v>2.716356</x:v>
      </x:c>
      <x:c r="G13" s="220" t="n">
        <x:f>B13+D13-F13</x:f>
        <x:v>143.966868</x:v>
      </x:c>
      <x:c r="H13" s="99" t="n">
        <x:f>Inputs!$B$6</x:f>
        <x:v>814</x:v>
      </x:c>
      <x:c r="I13" s="224" t="n">
        <x:f>F13*H13</x:f>
        <x:v>2211.113784</x:v>
      </x:c>
      <x:c r="J13" s="224" t="str">
        <x:f>IF(A13=Inputs!$B$15,G13*$D$4,"")</x:f>
      </x:c>
      <x:c r="K13" s="224" t="str">
        <x:f>IF(A13=Inputs!$B$15,J13*H13+SUM($I$12:I13)+Inputs!$B$7,"")</x:f>
      </x:c>
      <x:c r="L13" s="96" t="str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96" t="n">
        <x:v>3</x:v>
      </x:c>
      <x:c r="B14" s="220" t="n">
        <x:f>G13</x:f>
        <x:v>143.966868</x:v>
      </x:c>
      <x:c r="C14" s="98" t="n">
        <x:f>$B$4</x:f>
        <x:v>0.08</x:v>
      </x:c>
      <x:c r="D14" s="220" t="n">
        <x:f>B14*C14</x:f>
        <x:v>11.51734944</x:v>
      </x:c>
      <x:c r="E14" s="98" t="n">
        <x:f>$C$4</x:f>
        <x:v>0.25</x:v>
      </x:c>
      <x:c r="F14" s="220" t="n">
        <x:f>D14*E14</x:f>
        <x:v>2.87933736</x:v>
      </x:c>
      <x:c r="G14" s="220" t="n">
        <x:f>B14+D14-F14</x:f>
        <x:v>152.60488008000002</x:v>
      </x:c>
      <x:c r="H14" s="99" t="n">
        <x:f>Inputs!$B$6</x:f>
        <x:v>814</x:v>
      </x:c>
      <x:c r="I14" s="224" t="n">
        <x:f>F14*H14</x:f>
        <x:v>2343.78061104</x:v>
      </x:c>
      <x:c r="J14" s="224" t="str">
        <x:f>IF(A14=Inputs!$B$15,G14*$D$4,"")</x:f>
      </x:c>
      <x:c r="K14" s="224" t="str">
        <x:f>IF(A14=Inputs!$B$15,J14*H14+SUM($I$12:I14)+Inputs!$B$7,"")</x:f>
      </x:c>
      <x:c r="L14" s="96" t="str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96" t="n">
        <x:v>4</x:v>
      </x:c>
      <x:c r="B15" s="220" t="n">
        <x:f>G14</x:f>
        <x:v>152.60488008000002</x:v>
      </x:c>
      <x:c r="C15" s="98" t="n">
        <x:f>$B$4</x:f>
        <x:v>0.08</x:v>
      </x:c>
      <x:c r="D15" s="220" t="n">
        <x:f>B15*C15</x:f>
        <x:v>12.208390406400001</x:v>
      </x:c>
      <x:c r="E15" s="98" t="n">
        <x:f>$C$4</x:f>
        <x:v>0.25</x:v>
      </x:c>
      <x:c r="F15" s="220" t="n">
        <x:f>D15*E15</x:f>
        <x:v>3.0520976016000003</x:v>
      </x:c>
      <x:c r="G15" s="220" t="n">
        <x:f>B15+D15-F15</x:f>
        <x:v>161.76117288480003</x:v>
      </x:c>
      <x:c r="H15" s="99" t="n">
        <x:f>Inputs!$B$6</x:f>
        <x:v>814</x:v>
      </x:c>
      <x:c r="I15" s="224" t="n">
        <x:f>F15*H15</x:f>
        <x:v>2484.4074477024</x:v>
      </x:c>
      <x:c r="J15" s="224" t="str">
        <x:f>IF(A15=Inputs!$B$15,G15*$D$4,"")</x:f>
      </x:c>
      <x:c r="K15" s="224" t="str">
        <x:f>IF(A15=Inputs!$B$15,J15*H15+SUM($I$12:I15)+Inputs!$B$7,"")</x:f>
      </x:c>
      <x:c r="L15" s="96" t="str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96" t="n">
        <x:v>5</x:v>
      </x:c>
      <x:c r="B16" s="220" t="n">
        <x:f>G15</x:f>
        <x:v>161.76117288480003</x:v>
      </x:c>
      <x:c r="C16" s="98" t="n">
        <x:f>$B$4</x:f>
        <x:v>0.08</x:v>
      </x:c>
      <x:c r="D16" s="220" t="n">
        <x:f>B16*C16</x:f>
        <x:v>12.940893830784002</x:v>
      </x:c>
      <x:c r="E16" s="98" t="n">
        <x:f>$C$4</x:f>
        <x:v>0.25</x:v>
      </x:c>
      <x:c r="F16" s="220" t="n">
        <x:f>D16*E16</x:f>
        <x:v>3.2352234576960006</x:v>
      </x:c>
      <x:c r="G16" s="220" t="n">
        <x:f>B16+D16-F16</x:f>
        <x:v>171.46684325788803</x:v>
      </x:c>
      <x:c r="H16" s="99" t="n">
        <x:f>Inputs!$B$6</x:f>
        <x:v>814</x:v>
      </x:c>
      <x:c r="I16" s="224" t="n">
        <x:f>F16*H16</x:f>
        <x:v>2633.4718945645445</x:v>
      </x:c>
      <x:c r="J16" s="224" t="str">
        <x:f>IF(A16=Inputs!$B$15,G16*$D$4,"")</x:f>
      </x:c>
      <x:c r="K16" s="224" t="str">
        <x:f>IF(A16=Inputs!$B$15,J16*H16+SUM($I$12:I16)+Inputs!$B$7,"")</x:f>
      </x:c>
      <x:c r="L16" s="96" t="str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96" t="n">
        <x:v>6</x:v>
      </x:c>
      <x:c r="B17" s="220" t="n">
        <x:f>G16</x:f>
        <x:v>171.46684325788803</x:v>
      </x:c>
      <x:c r="C17" s="98" t="n">
        <x:f>$B$4</x:f>
        <x:v>0.08</x:v>
      </x:c>
      <x:c r="D17" s="220" t="n">
        <x:f>B17*C17</x:f>
        <x:v>13.717347460631043</x:v>
      </x:c>
      <x:c r="E17" s="98" t="n">
        <x:f>$C$4</x:f>
        <x:v>0.25</x:v>
      </x:c>
      <x:c r="F17" s="220" t="n">
        <x:f>D17*E17</x:f>
        <x:v>3.4293368651577607</x:v>
      </x:c>
      <x:c r="G17" s="220" t="n">
        <x:f>B17+D17-F17</x:f>
        <x:v>181.7548538533613</x:v>
      </x:c>
      <x:c r="H17" s="99" t="n">
        <x:f>Inputs!$B$6</x:f>
        <x:v>814</x:v>
      </x:c>
      <x:c r="I17" s="224" t="n">
        <x:f>F17*H17</x:f>
        <x:v>2791.480208238417</x:v>
      </x:c>
      <x:c r="J17" s="224" t="str">
        <x:f>IF(A17=Inputs!$B$15,G17*$D$4,"")</x:f>
      </x:c>
      <x:c r="K17" s="224" t="str">
        <x:f>IF(A17=Inputs!$B$15,J17*H17+SUM($I$12:I17)+Inputs!$B$7,"")</x:f>
      </x:c>
      <x:c r="L17" s="96" t="str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96" t="n">
        <x:v>7</x:v>
      </x:c>
      <x:c r="B18" s="220" t="n">
        <x:f>G17</x:f>
        <x:v>181.7548538533613</x:v>
      </x:c>
      <x:c r="C18" s="98" t="n">
        <x:f>$B$4</x:f>
        <x:v>0.08</x:v>
      </x:c>
      <x:c r="D18" s="220" t="n">
        <x:f>B18*C18</x:f>
        <x:v>14.540388308268906</x:v>
      </x:c>
      <x:c r="E18" s="98" t="n">
        <x:f>$C$4</x:f>
        <x:v>0.25</x:v>
      </x:c>
      <x:c r="F18" s="220" t="n">
        <x:f>D18*E18</x:f>
        <x:v>3.6350970770672264</x:v>
      </x:c>
      <x:c r="G18" s="220" t="n">
        <x:f>B18+D18-F18</x:f>
        <x:v>192.660145084563</x:v>
      </x:c>
      <x:c r="H18" s="99" t="n">
        <x:f>Inputs!$B$6</x:f>
        <x:v>814</x:v>
      </x:c>
      <x:c r="I18" s="224" t="n">
        <x:f>F18*H18</x:f>
        <x:v>2958.969020732722</x:v>
      </x:c>
      <x:c r="J18" s="224" t="str">
        <x:f>IF(A18=Inputs!$B$15,G18*$D$4,"")</x:f>
      </x:c>
      <x:c r="K18" s="224" t="str">
        <x:f>IF(A18=Inputs!$B$15,J18*H18+SUM($I$12:I18)+Inputs!$B$7,"")</x:f>
      </x:c>
      <x:c r="L18" s="96" t="str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96" t="n">
        <x:v>8</x:v>
      </x:c>
      <x:c r="B19" s="220" t="n">
        <x:f>G18</x:f>
        <x:v>192.660145084563</x:v>
      </x:c>
      <x:c r="C19" s="98" t="n">
        <x:f>$B$4</x:f>
        <x:v>0.08</x:v>
      </x:c>
      <x:c r="D19" s="220" t="n">
        <x:f>B19*C19</x:f>
        <x:v>15.41281160676504</x:v>
      </x:c>
      <x:c r="E19" s="98" t="n">
        <x:f>$C$4</x:f>
        <x:v>0.25</x:v>
      </x:c>
      <x:c r="F19" s="220" t="n">
        <x:f>D19*E19</x:f>
        <x:v>3.85320290169126</x:v>
      </x:c>
      <x:c r="G19" s="220" t="n">
        <x:f>B19+D19-F19</x:f>
        <x:v>204.2197537896368</x:v>
      </x:c>
      <x:c r="H19" s="99" t="n">
        <x:f>Inputs!$B$6</x:f>
        <x:v>814</x:v>
      </x:c>
      <x:c r="I19" s="224" t="n">
        <x:f>F19*H19</x:f>
        <x:v>3136.5071619766854</x:v>
      </x:c>
      <x:c r="J19" s="224" t="str">
        <x:f>IF(A19=Inputs!$B$15,G19*$D$4,"")</x:f>
      </x:c>
      <x:c r="K19" s="224" t="str">
        <x:f>IF(A19=Inputs!$B$15,J19*H19+SUM($I$12:I19)+Inputs!$B$7,"")</x:f>
      </x:c>
      <x:c r="L19" s="96" t="str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96" t="n">
        <x:v>9</x:v>
      </x:c>
      <x:c r="B20" s="220" t="n">
        <x:f>G19</x:f>
        <x:v>204.2197537896368</x:v>
      </x:c>
      <x:c r="C20" s="98" t="n">
        <x:f>$B$4</x:f>
        <x:v>0.08</x:v>
      </x:c>
      <x:c r="D20" s="220" t="n">
        <x:f>B20*C20</x:f>
        <x:v>16.337580303170945</x:v>
      </x:c>
      <x:c r="E20" s="98" t="n">
        <x:f>$C$4</x:f>
        <x:v>0.25</x:v>
      </x:c>
      <x:c r="F20" s="220" t="n">
        <x:f>D20*E20</x:f>
        <x:v>4.084395075792736</x:v>
      </x:c>
      <x:c r="G20" s="220" t="n">
        <x:f>B20+D20-F20</x:f>
        <x:v>216.472939017015</x:v>
      </x:c>
      <x:c r="H20" s="99" t="n">
        <x:f>Inputs!$B$6</x:f>
        <x:v>814</x:v>
      </x:c>
      <x:c r="I20" s="224" t="n">
        <x:f>F20*H20</x:f>
        <x:v>3324.6975916952874</x:v>
      </x:c>
      <x:c r="J20" s="224" t="str">
        <x:f>IF(A20=Inputs!$B$15,G20*$D$4,"")</x:f>
      </x:c>
      <x:c r="K20" s="224" t="str">
        <x:f>IF(A20=Inputs!$B$15,J20*H20+SUM($I$12:I20)+Inputs!$B$7,"")</x:f>
      </x:c>
      <x:c r="L20" s="96" t="str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96" t="n">
        <x:v>10</x:v>
      </x:c>
      <x:c r="B21" s="220" t="n">
        <x:f>G20</x:f>
        <x:v>216.472939017015</x:v>
      </x:c>
      <x:c r="C21" s="98" t="n">
        <x:f>$B$4</x:f>
        <x:v>0.08</x:v>
      </x:c>
      <x:c r="D21" s="220" t="n">
        <x:f>B21*C21</x:f>
        <x:v>17.3178351213612</x:v>
      </x:c>
      <x:c r="E21" s="98" t="n">
        <x:f>$C$4</x:f>
        <x:v>0.25</x:v>
      </x:c>
      <x:c r="F21" s="220" t="n">
        <x:f>D21*E21</x:f>
        <x:v>4.3294587803403</x:v>
      </x:c>
      <x:c r="G21" s="220" t="n">
        <x:f>B21+D21-F21</x:f>
        <x:v>229.4613153580359</x:v>
      </x:c>
      <x:c r="H21" s="99" t="n">
        <x:f>Inputs!$B$6</x:f>
        <x:v>814</x:v>
      </x:c>
      <x:c r="I21" s="224" t="n">
        <x:f>F21*H21</x:f>
        <x:v>3524.179447197004</x:v>
      </x:c>
      <x:c r="J21" s="224" t="n">
        <x:f>IF(A21=Inputs!$B$15,G21*$D$4,"")</x:f>
        <x:v>80.31146037531256</x:v>
      </x:c>
      <x:c r="K21" s="224" t="n">
        <x:f>IF(A21=Inputs!$B$15,J21*H21+SUM($I$12:I21)+Inputs!$B$7,"")</x:f>
        <x:v>92872.21231265148</x:v>
      </x:c>
      <x:c r="L21" s="96" t="str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96"/>
      <x:c r="B22" s="220"/>
      <x:c r="C22" s="98"/>
      <x:c r="D22" s="220"/>
      <x:c r="E22" s="98"/>
      <x:c r="F22" s="220"/>
      <x:c r="G22" s="220"/>
      <x:c r="H22" s="99"/>
      <x:c r="I22" s="224"/>
      <x:c r="J22" s="224"/>
      <x:c r="K22" s="224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89" t="str">
        <x:v>Total dividendos / valor final</x:v>
      </x:c>
      <x:c r="B23" s="221"/>
      <x:c r="C23" s="191"/>
      <x:c r="D23" s="221"/>
      <x:c r="E23" s="191"/>
      <x:c r="F23" s="221"/>
      <x:c r="G23" s="221"/>
      <x:c r="H23" s="192"/>
      <x:c r="I23" s="225" t="n">
        <x:f>SUM(I12:I21)</x:f>
        <x:v>27494.56356714706</x:v>
      </x:c>
      <x:c r="J23" s="225"/>
      <x:c r="K23" s="225" t="n">
        <x:f>MAX(K12:K21)</x:f>
        <x:v>92872.21231265148</x:v>
      </x:c>
      <x:c r="L23" s="189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96"/>
      <x:c r="B24" s="96"/>
      <x:c r="C24" s="96"/>
      <x:c r="D24" s="96"/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96"/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66" t="str">
        <x:v>Detalhe anual — Base</x:v>
      </x:c>
      <x:c r="B26" s="166"/>
      <x:c r="C26" s="166"/>
      <x:c r="D26" s="166"/>
      <x:c r="E26" s="166"/>
      <x:c r="F26" s="166"/>
      <x:c r="G26" s="166"/>
      <x:c r="H26" s="166"/>
      <x:c r="I26" s="166"/>
      <x:c r="J26" s="166"/>
      <x:c r="K26" s="166"/>
      <x:c r="L26" s="16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65" t="str">
        <x:v>Ano</x:v>
      </x:c>
      <x:c r="B27" s="165" t="str">
        <x:v>VPA início</x:v>
      </x:c>
      <x:c r="C27" s="165" t="str">
        <x:v>ROE</x:v>
      </x:c>
      <x:c r="D27" s="165" t="str">
        <x:v>LPA/EPS</x:v>
      </x:c>
      <x:c r="E27" s="165" t="str">
        <x:v>Payout</x:v>
      </x:c>
      <x:c r="F27" s="165" t="str">
        <x:v>DPA</x:v>
      </x:c>
      <x:c r="G27" s="165" t="str">
        <x:v>VPA final</x:v>
      </x:c>
      <x:c r="H27" s="165" t="str">
        <x:v>Ações</x:v>
      </x:c>
      <x:c r="I27" s="165" t="str">
        <x:v>Dividendo no ano</x:v>
      </x:c>
      <x:c r="J27" s="165" t="str">
        <x:v>Preço saída</x:v>
      </x:c>
      <x:c r="K27" s="165" t="str">
        <x:v>Valor final (ano 10)</x:v>
      </x:c>
      <x:c r="L27" s="165" t="str">
        <x:v>Obs.</x:v>
      </x:c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96" t="n">
        <x:v>1</x:v>
      </x:c>
      <x:c r="B28" s="220" t="n">
        <x:f>Inputs!$B$8</x:f>
        <x:v>128.13</x:v>
      </x:c>
      <x:c r="C28" s="98" t="n">
        <x:f>$B$5</x:f>
        <x:v>0.13</x:v>
      </x:c>
      <x:c r="D28" s="220" t="n">
        <x:f>B28*C28</x:f>
        <x:v>16.6569</x:v>
      </x:c>
      <x:c r="E28" s="98" t="n">
        <x:f>$C$5</x:f>
        <x:v>0.37496432314732175</x:v>
      </x:c>
      <x:c r="F28" s="220" t="n">
        <x:f>D28*E28</x:f>
        <x:v>6.245743234232624</x:v>
      </x:c>
      <x:c r="G28" s="220" t="n">
        <x:f>B28+D28-F28</x:f>
        <x:v>138.54115676576737</x:v>
      </x:c>
      <x:c r="H28" s="99" t="n">
        <x:f>Inputs!$B$6</x:f>
        <x:v>814</x:v>
      </x:c>
      <x:c r="I28" s="224" t="n">
        <x:f>F28*H28</x:f>
        <x:v>5084.034992665355</x:v>
      </x:c>
      <x:c r="J28" s="224" t="str">
        <x:f>IF(A28=Inputs!$B$15,G28*$D$5,"")</x:f>
      </x:c>
      <x:c r="K28" s="224" t="str">
        <x:f>IF(A28=Inputs!$B$15,J28*H28+SUM($I$28:I28)+Inputs!$B$7,"")</x:f>
      </x:c>
      <x:c r="L28" s="96" t="str">
        <x:v>antes de impostos; JCP sofre IRRF</x:v>
      </x:c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96" t="n">
        <x:v>2</x:v>
      </x:c>
      <x:c r="B29" s="220" t="n">
        <x:f>G28</x:f>
        <x:v>138.54115676576737</x:v>
      </x:c>
      <x:c r="C29" s="98" t="n">
        <x:f>$B$5</x:f>
        <x:v>0.13</x:v>
      </x:c>
      <x:c r="D29" s="220" t="n">
        <x:f>B29*C29</x:f>
        <x:v>18.01035037954976</x:v>
      </x:c>
      <x:c r="E29" s="98" t="n">
        <x:f>$C$5</x:f>
        <x:v>0.37496432314732175</x:v>
      </x:c>
      <x:c r="F29" s="220" t="n">
        <x:f>D29*E29</x:f>
        <x:v>6.753238839713985</x:v>
      </x:c>
      <x:c r="G29" s="220" t="n">
        <x:f>B29+D29-F29</x:f>
        <x:v>149.79826830560313</x:v>
      </x:c>
      <x:c r="H29" s="99" t="n">
        <x:f>Inputs!$B$6</x:f>
        <x:v>814</x:v>
      </x:c>
      <x:c r="I29" s="224" t="n">
        <x:f>F29*H29</x:f>
        <x:v>5497.136415527184</x:v>
      </x:c>
      <x:c r="J29" s="224" t="str">
        <x:f>IF(A29=Inputs!$B$15,G29*$D$5,"")</x:f>
      </x:c>
      <x:c r="K29" s="224" t="str">
        <x:f>IF(A29=Inputs!$B$15,J29*H29+SUM($I$28:I29)+Inputs!$B$7,"")</x:f>
      </x:c>
      <x:c r="L29" s="96" t="str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96" t="n">
        <x:v>3</x:v>
      </x:c>
      <x:c r="B30" s="220" t="n">
        <x:f>G29</x:f>
        <x:v>149.79826830560313</x:v>
      </x:c>
      <x:c r="C30" s="98" t="n">
        <x:f>$B$5</x:f>
        <x:v>0.13</x:v>
      </x:c>
      <x:c r="D30" s="220" t="n">
        <x:f>B30*C30</x:f>
        <x:v>19.473774879728406</x:v>
      </x:c>
      <x:c r="E30" s="98" t="n">
        <x:f>$C$5</x:f>
        <x:v>0.37496432314732175</x:v>
      </x:c>
      <x:c r="F30" s="220" t="n">
        <x:f>D30*E30</x:f>
        <x:v>7.301970816900679</x:v>
      </x:c>
      <x:c r="G30" s="220" t="n">
        <x:f>B30+D30-F30</x:f>
        <x:v>161.97007236843086</x:v>
      </x:c>
      <x:c r="H30" s="99" t="n">
        <x:f>Inputs!$B$6</x:f>
        <x:v>814</x:v>
      </x:c>
      <x:c r="I30" s="224" t="n">
        <x:f>F30*H30</x:f>
        <x:v>5943.804244957153</x:v>
      </x:c>
      <x:c r="J30" s="224" t="str">
        <x:f>IF(A30=Inputs!$B$15,G30*$D$5,"")</x:f>
      </x:c>
      <x:c r="K30" s="224" t="str">
        <x:f>IF(A30=Inputs!$B$15,J30*H30+SUM($I$28:I30)+Inputs!$B$7,"")</x:f>
      </x:c>
      <x:c r="L30" s="96" t="str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96" t="n">
        <x:v>4</x:v>
      </x:c>
      <x:c r="B31" s="220" t="n">
        <x:f>G30</x:f>
        <x:v>161.97007236843086</x:v>
      </x:c>
      <x:c r="C31" s="98" t="n">
        <x:f>$B$5</x:f>
        <x:v>0.13</x:v>
      </x:c>
      <x:c r="D31" s="220" t="n">
        <x:f>B31*C31</x:f>
        <x:v>21.056109407896013</x:v>
      </x:c>
      <x:c r="E31" s="98" t="n">
        <x:f>$C$5</x:f>
        <x:v>0.37496432314732175</x:v>
      </x:c>
      <x:c r="F31" s="220" t="n">
        <x:f>D31*E31</x:f>
        <x:v>7.8952898122476824</x:v>
      </x:c>
      <x:c r="G31" s="220" t="n">
        <x:f>B31+D31-F31</x:f>
        <x:v>175.13089196407918</x:v>
      </x:c>
      <x:c r="H31" s="99" t="n">
        <x:f>Inputs!$B$6</x:f>
        <x:v>814</x:v>
      </x:c>
      <x:c r="I31" s="224" t="n">
        <x:f>F31*H31</x:f>
        <x:v>6426.7659071696135</x:v>
      </x:c>
      <x:c r="J31" s="224" t="str">
        <x:f>IF(A31=Inputs!$B$15,G31*$D$5,"")</x:f>
      </x:c>
      <x:c r="K31" s="224" t="str">
        <x:f>IF(A31=Inputs!$B$15,J31*H31+SUM($I$28:I31)+Inputs!$B$7,"")</x:f>
      </x:c>
      <x:c r="L31" s="96" t="str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 t="n">
        <x:v>5</x:v>
      </x:c>
      <x:c r="B32" s="220" t="n">
        <x:f>G31</x:f>
        <x:v>175.13089196407918</x:v>
      </x:c>
      <x:c r="C32" s="98" t="n">
        <x:f>$B$5</x:f>
        <x:v>0.13</x:v>
      </x:c>
      <x:c r="D32" s="220" t="n">
        <x:f>B32*C32</x:f>
        <x:v>22.767015955330294</x:v>
      </x:c>
      <x:c r="E32" s="98" t="n">
        <x:f>$C$5</x:f>
        <x:v>0.37496432314732175</x:v>
      </x:c>
      <x:c r="F32" s="220" t="n">
        <x:f>D32*E32</x:f>
        <x:v>8.5368187277747</x:v>
      </x:c>
      <x:c r="G32" s="220" t="n">
        <x:f>B32+D32-F32</x:f>
        <x:v>189.3610891916348</x:v>
      </x:c>
      <x:c r="H32" s="99" t="n">
        <x:f>Inputs!$B$6</x:f>
        <x:v>814</x:v>
      </x:c>
      <x:c r="I32" s="224" t="n">
        <x:f>F32*H32</x:f>
        <x:v>6948.9704444086055</x:v>
      </x:c>
      <x:c r="J32" s="224" t="str">
        <x:f>IF(A32=Inputs!$B$15,G32*$D$5,"")</x:f>
      </x:c>
      <x:c r="K32" s="224" t="str">
        <x:f>IF(A32=Inputs!$B$15,J32*H32+SUM($I$28:I32)+Inputs!$B$7,"")</x:f>
      </x:c>
      <x:c r="L32" s="96" t="str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 t="n">
        <x:v>6</x:v>
      </x:c>
      <x:c r="B33" s="220" t="n">
        <x:f>G32</x:f>
        <x:v>189.3610891916348</x:v>
      </x:c>
      <x:c r="C33" s="98" t="n">
        <x:f>$B$5</x:f>
        <x:v>0.13</x:v>
      </x:c>
      <x:c r="D33" s="220" t="n">
        <x:f>B33*C33</x:f>
        <x:v>24.616941594912525</x:v>
      </x:c>
      <x:c r="E33" s="98" t="n">
        <x:f>$C$5</x:f>
        <x:v>0.37496432314732175</x:v>
      </x:c>
      <x:c r="F33" s="220" t="n">
        <x:f>D33*E33</x:f>
        <x:v>9.230474843093527</x:v>
      </x:c>
      <x:c r="G33" s="220" t="n">
        <x:f>B33+D33-F33</x:f>
        <x:v>204.7475559434538</x:v>
      </x:c>
      <x:c r="H33" s="99" t="n">
        <x:f>Inputs!$B$6</x:f>
        <x:v>814</x:v>
      </x:c>
      <x:c r="I33" s="224" t="n">
        <x:f>F33*H33</x:f>
        <x:v>7513.606522278131</x:v>
      </x:c>
      <x:c r="J33" s="224" t="str">
        <x:f>IF(A33=Inputs!$B$15,G33*$D$5,"")</x:f>
      </x:c>
      <x:c r="K33" s="224" t="str">
        <x:f>IF(A33=Inputs!$B$15,J33*H33+SUM($I$28:I33)+Inputs!$B$7,"")</x:f>
      </x:c>
      <x:c r="L33" s="96" t="str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 t="n">
        <x:v>7</x:v>
      </x:c>
      <x:c r="B34" s="220" t="n">
        <x:f>G33</x:f>
        <x:v>204.7475559434538</x:v>
      </x:c>
      <x:c r="C34" s="98" t="n">
        <x:f>$B$5</x:f>
        <x:v>0.13</x:v>
      </x:c>
      <x:c r="D34" s="220" t="n">
        <x:f>B34*C34</x:f>
        <x:v>26.617182272648993</x:v>
      </x:c>
      <x:c r="E34" s="98" t="n">
        <x:f>$C$5</x:f>
        <x:v>0.37496432314732175</x:v>
      </x:c>
      <x:c r="F34" s="220" t="n">
        <x:f>D34*E34</x:f>
        <x:v>9.980493734952722</x:v>
      </x:c>
      <x:c r="G34" s="220" t="n">
        <x:f>B34+D34-F34</x:f>
        <x:v>221.38424448115006</x:v>
      </x:c>
      <x:c r="H34" s="99" t="n">
        <x:f>Inputs!$B$6</x:f>
        <x:v>814</x:v>
      </x:c>
      <x:c r="I34" s="224" t="n">
        <x:f>F34*H34</x:f>
        <x:v>8124.121900251515</x:v>
      </x:c>
      <x:c r="J34" s="224" t="str">
        <x:f>IF(A34=Inputs!$B$15,G34*$D$5,"")</x:f>
      </x:c>
      <x:c r="K34" s="224" t="str">
        <x:f>IF(A34=Inputs!$B$15,J34*H34+SUM($I$28:I34)+Inputs!$B$7,"")</x:f>
      </x:c>
      <x:c r="L34" s="96" t="str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 t="n">
        <x:v>8</x:v>
      </x:c>
      <x:c r="B35" s="220" t="n">
        <x:f>G34</x:f>
        <x:v>221.38424448115006</x:v>
      </x:c>
      <x:c r="C35" s="98" t="n">
        <x:f>$B$5</x:f>
        <x:v>0.13</x:v>
      </x:c>
      <x:c r="D35" s="220" t="n">
        <x:f>B35*C35</x:f>
        <x:v>28.77995178254951</x:v>
      </x:c>
      <x:c r="E35" s="98" t="n">
        <x:f>$C$5</x:f>
        <x:v>0.37496432314732175</x:v>
      </x:c>
      <x:c r="F35" s="220" t="n">
        <x:f>D35*E35</x:f>
        <x:v>10.791455140356232</x:v>
      </x:c>
      <x:c r="G35" s="220" t="n">
        <x:f>B35+D35-F35</x:f>
        <x:v>239.37274112334336</x:v>
      </x:c>
      <x:c r="H35" s="99" t="n">
        <x:f>Inputs!$B$6</x:f>
        <x:v>814</x:v>
      </x:c>
      <x:c r="I35" s="224" t="n">
        <x:f>F35*H35</x:f>
        <x:v>8784.244484249974</x:v>
      </x:c>
      <x:c r="J35" s="224" t="str">
        <x:f>IF(A35=Inputs!$B$15,G35*$D$5,"")</x:f>
      </x:c>
      <x:c r="K35" s="224" t="str">
        <x:f>IF(A35=Inputs!$B$15,J35*H35+SUM($I$28:I35)+Inputs!$B$7,"")</x:f>
      </x:c>
      <x:c r="L35" s="96" t="str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 t="n">
        <x:v>9</x:v>
      </x:c>
      <x:c r="B36" s="220" t="n">
        <x:f>G35</x:f>
        <x:v>239.37274112334336</x:v>
      </x:c>
      <x:c r="C36" s="98" t="n">
        <x:f>$B$5</x:f>
        <x:v>0.13</x:v>
      </x:c>
      <x:c r="D36" s="220" t="n">
        <x:f>B36*C36</x:f>
        <x:v>31.118456346034638</x:v>
      </x:c>
      <x:c r="E36" s="98" t="n">
        <x:f>$C$5</x:f>
        <x:v>0.37496432314732175</x:v>
      </x:c>
      <x:c r="F36" s="220" t="n">
        <x:f>D36*E36</x:f>
        <x:v>11.668310921180357</x:v>
      </x:c>
      <x:c r="G36" s="220" t="n">
        <x:f>B36+D36-F36</x:f>
        <x:v>258.82288654819763</x:v>
      </x:c>
      <x:c r="H36" s="99" t="n">
        <x:f>Inputs!$B$6</x:f>
        <x:v>814</x:v>
      </x:c>
      <x:c r="I36" s="224" t="n">
        <x:f>F36*H36</x:f>
        <x:v>9498.00508984081</x:v>
      </x:c>
      <x:c r="J36" s="224" t="str">
        <x:f>IF(A36=Inputs!$B$15,G36*$D$5,"")</x:f>
      </x:c>
      <x:c r="K36" s="224" t="str">
        <x:f>IF(A36=Inputs!$B$15,J36*H36+SUM($I$28:I36)+Inputs!$B$7,"")</x:f>
      </x:c>
      <x:c r="L36" s="96" t="str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 t="n">
        <x:v>10</x:v>
      </x:c>
      <x:c r="B37" s="220" t="n">
        <x:f>G36</x:f>
        <x:v>258.82288654819763</x:v>
      </x:c>
      <x:c r="C37" s="98" t="n">
        <x:f>$B$5</x:f>
        <x:v>0.13</x:v>
      </x:c>
      <x:c r="D37" s="220" t="n">
        <x:f>B37*C37</x:f>
        <x:v>33.646975251265694</x:v>
      </x:c>
      <x:c r="E37" s="98" t="n">
        <x:f>$C$5</x:f>
        <x:v>0.37496432314732175</x:v>
      </x:c>
      <x:c r="F37" s="220" t="n">
        <x:f>D37*E37</x:f>
        <x:v>12.616415301045528</x:v>
      </x:c>
      <x:c r="G37" s="220" t="n">
        <x:f>B37+D37-F37</x:f>
        <x:v>279.8534464984178</x:v>
      </x:c>
      <x:c r="H37" s="99" t="n">
        <x:f>Inputs!$B$6</x:f>
        <x:v>814</x:v>
      </x:c>
      <x:c r="I37" s="224" t="n">
        <x:f>F37*H37</x:f>
        <x:v>10269.76205505106</x:v>
      </x:c>
      <x:c r="J37" s="224" t="n">
        <x:f>IF(A37=Inputs!$B$15,G37*$D$5,"")</x:f>
        <x:v>153.9193955741298</x:v>
      </x:c>
      <x:c r="K37" s="224" t="n">
        <x:f>IF(A37=Inputs!$B$15,J37*H37+SUM($I$28:I37)+Inputs!$B$7,"")</x:f>
        <x:v>199384.96005374106</x:v>
      </x:c>
      <x:c r="L37" s="96" t="str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220"/>
      <x:c r="C38" s="98"/>
      <x:c r="D38" s="220"/>
      <x:c r="E38" s="98"/>
      <x:c r="F38" s="220"/>
      <x:c r="G38" s="220"/>
      <x:c r="H38" s="99"/>
      <x:c r="I38" s="224"/>
      <x:c r="J38" s="224"/>
      <x:c r="K38" s="224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189" t="str">
        <x:v>Total dividendos / valor final</x:v>
      </x:c>
      <x:c r="B39" s="221"/>
      <x:c r="C39" s="191"/>
      <x:c r="D39" s="221"/>
      <x:c r="E39" s="191"/>
      <x:c r="F39" s="221"/>
      <x:c r="G39" s="221"/>
      <x:c r="H39" s="192"/>
      <x:c r="I39" s="225" t="n">
        <x:f>SUM(I28:I37)</x:f>
        <x:v>74090.4520563994</x:v>
      </x:c>
      <x:c r="J39" s="225"/>
      <x:c r="K39" s="225" t="n">
        <x:f>MAX(K28:K37)</x:f>
        <x:v>199384.96005374106</x:v>
      </x:c>
      <x:c r="L39" s="189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166" t="str">
        <x:v>Detalhe anual — Otimista</x:v>
      </x:c>
      <x:c r="B42" s="166"/>
      <x:c r="C42" s="166"/>
      <x:c r="D42" s="166"/>
      <x:c r="E42" s="166"/>
      <x:c r="F42" s="166"/>
      <x:c r="G42" s="166"/>
      <x:c r="H42" s="166"/>
      <x:c r="I42" s="166"/>
      <x:c r="J42" s="166"/>
      <x:c r="K42" s="166"/>
      <x:c r="L42" s="16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165" t="str">
        <x:v>Ano</x:v>
      </x:c>
      <x:c r="B43" s="165" t="str">
        <x:v>VPA início</x:v>
      </x:c>
      <x:c r="C43" s="165" t="str">
        <x:v>ROE</x:v>
      </x:c>
      <x:c r="D43" s="165" t="str">
        <x:v>LPA/EPS</x:v>
      </x:c>
      <x:c r="E43" s="165" t="str">
        <x:v>Payout</x:v>
      </x:c>
      <x:c r="F43" s="165" t="str">
        <x:v>DPA</x:v>
      </x:c>
      <x:c r="G43" s="165" t="str">
        <x:v>VPA final</x:v>
      </x:c>
      <x:c r="H43" s="165" t="str">
        <x:v>Ações</x:v>
      </x:c>
      <x:c r="I43" s="165" t="str">
        <x:v>Dividendo no ano</x:v>
      </x:c>
      <x:c r="J43" s="165" t="str">
        <x:v>Preço saída</x:v>
      </x:c>
      <x:c r="K43" s="165" t="str">
        <x:v>Valor final (ano 10)</x:v>
      </x:c>
      <x:c r="L43" s="165" t="str">
        <x:v>Obs.</x:v>
      </x:c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 t="n">
        <x:v>1</x:v>
      </x:c>
      <x:c r="B44" s="220" t="n">
        <x:f>Inputs!$B$8</x:f>
        <x:v>128.13</x:v>
      </x:c>
      <x:c r="C44" s="98" t="n">
        <x:f>$B$6</x:f>
        <x:v>0.17</x:v>
      </x:c>
      <x:c r="D44" s="220" t="n">
        <x:f>B44*C44</x:f>
        <x:v>21.7821</x:v>
      </x:c>
      <x:c r="E44" s="98" t="n">
        <x:f>$C$6</x:f>
        <x:v>0.45</x:v>
      </x:c>
      <x:c r="F44" s="220" t="n">
        <x:f>D44*E44</x:f>
        <x:v>9.801945</x:v>
      </x:c>
      <x:c r="G44" s="220" t="n">
        <x:f>B44+D44-F44</x:f>
        <x:v>140.11015500000002</x:v>
      </x:c>
      <x:c r="H44" s="99" t="n">
        <x:f>Inputs!$B$6</x:f>
        <x:v>814</x:v>
      </x:c>
      <x:c r="I44" s="224" t="n">
        <x:f>F44*H44</x:f>
        <x:v>7978.78323</x:v>
      </x:c>
      <x:c r="J44" s="224" t="str">
        <x:f>IF(A44=Inputs!$B$15,G44*$D$6,"")</x:f>
      </x:c>
      <x:c r="K44" s="224" t="str">
        <x:f>IF(A44=Inputs!$B$15,J44*H44+SUM($I$44:I44)+Inputs!$B$7,"")</x:f>
      </x:c>
      <x:c r="L44" s="96" t="str">
        <x:v>antes de impostos; JCP sofre IRRF</x:v>
      </x:c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 t="n">
        <x:v>2</x:v>
      </x:c>
      <x:c r="B45" s="220" t="n">
        <x:f>G44</x:f>
        <x:v>140.11015500000002</x:v>
      </x:c>
      <x:c r="C45" s="98" t="n">
        <x:f>$B$6</x:f>
        <x:v>0.17</x:v>
      </x:c>
      <x:c r="D45" s="220" t="n">
        <x:f>B45*C45</x:f>
        <x:v>23.818726350000006</x:v>
      </x:c>
      <x:c r="E45" s="98" t="n">
        <x:f>$C$6</x:f>
        <x:v>0.45</x:v>
      </x:c>
      <x:c r="F45" s="220" t="n">
        <x:f>D45*E45</x:f>
        <x:v>10.718426857500003</x:v>
      </x:c>
      <x:c r="G45" s="220" t="n">
        <x:f>B45+D45-F45</x:f>
        <x:v>153.21045449250005</x:v>
      </x:c>
      <x:c r="H45" s="99" t="n">
        <x:f>Inputs!$B$6</x:f>
        <x:v>814</x:v>
      </x:c>
      <x:c r="I45" s="224" t="n">
        <x:f>F45*H45</x:f>
        <x:v>8724.799462005001</x:v>
      </x:c>
      <x:c r="J45" s="224" t="str">
        <x:f>IF(A45=Inputs!$B$15,G45*$D$6,"")</x:f>
      </x:c>
      <x:c r="K45" s="224" t="str">
        <x:f>IF(A45=Inputs!$B$15,J45*H45+SUM($I$44:I45)+Inputs!$B$7,"")</x:f>
      </x:c>
      <x:c r="L45" s="96" t="str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 t="n">
        <x:v>3</x:v>
      </x:c>
      <x:c r="B46" s="220" t="n">
        <x:f>G45</x:f>
        <x:v>153.21045449250005</x:v>
      </x:c>
      <x:c r="C46" s="98" t="n">
        <x:f>$B$6</x:f>
        <x:v>0.17</x:v>
      </x:c>
      <x:c r="D46" s="220" t="n">
        <x:f>B46*C46</x:f>
        <x:v>26.04577726372501</x:v>
      </x:c>
      <x:c r="E46" s="98" t="n">
        <x:f>$C$6</x:f>
        <x:v>0.45</x:v>
      </x:c>
      <x:c r="F46" s="220" t="n">
        <x:f>D46*E46</x:f>
        <x:v>11.720599768676255</x:v>
      </x:c>
      <x:c r="G46" s="220" t="n">
        <x:f>B46+D46-F46</x:f>
        <x:v>167.53563198754878</x:v>
      </x:c>
      <x:c r="H46" s="99" t="n">
        <x:f>Inputs!$B$6</x:f>
        <x:v>814</x:v>
      </x:c>
      <x:c r="I46" s="224" t="n">
        <x:f>F46*H46</x:f>
        <x:v>9540.568211702472</x:v>
      </x:c>
      <x:c r="J46" s="224" t="str">
        <x:f>IF(A46=Inputs!$B$15,G46*$D$6,"")</x:f>
      </x:c>
      <x:c r="K46" s="224" t="str">
        <x:f>IF(A46=Inputs!$B$15,J46*H46+SUM($I$44:I46)+Inputs!$B$7,"")</x:f>
      </x:c>
      <x:c r="L46" s="96" t="str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 t="n">
        <x:v>4</x:v>
      </x:c>
      <x:c r="B47" s="220" t="n">
        <x:f>G46</x:f>
        <x:v>167.53563198754878</x:v>
      </x:c>
      <x:c r="C47" s="98" t="n">
        <x:f>$B$6</x:f>
        <x:v>0.17</x:v>
      </x:c>
      <x:c r="D47" s="220" t="n">
        <x:f>B47*C47</x:f>
        <x:v>28.481057437883294</x:v>
      </x:c>
      <x:c r="E47" s="98" t="n">
        <x:f>$C$6</x:f>
        <x:v>0.45</x:v>
      </x:c>
      <x:c r="F47" s="220" t="n">
        <x:f>D47*E47</x:f>
        <x:v>12.816475847047483</x:v>
      </x:c>
      <x:c r="G47" s="220" t="n">
        <x:f>B47+D47-F47</x:f>
        <x:v>183.2002135783846</x:v>
      </x:c>
      <x:c r="H47" s="99" t="n">
        <x:f>Inputs!$B$6</x:f>
        <x:v>814</x:v>
      </x:c>
      <x:c r="I47" s="224" t="n">
        <x:f>F47*H47</x:f>
        <x:v>10432.61133949665</x:v>
      </x:c>
      <x:c r="J47" s="224" t="str">
        <x:f>IF(A47=Inputs!$B$15,G47*$D$6,"")</x:f>
      </x:c>
      <x:c r="K47" s="224" t="str">
        <x:f>IF(A47=Inputs!$B$15,J47*H47+SUM($I$44:I47)+Inputs!$B$7,"")</x:f>
      </x:c>
      <x:c r="L47" s="96" t="str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 t="n">
        <x:v>5</x:v>
      </x:c>
      <x:c r="B48" s="220" t="n">
        <x:f>G47</x:f>
        <x:v>183.2002135783846</x:v>
      </x:c>
      <x:c r="C48" s="98" t="n">
        <x:f>$B$6</x:f>
        <x:v>0.17</x:v>
      </x:c>
      <x:c r="D48" s="220" t="n">
        <x:f>B48*C48</x:f>
        <x:v>31.144036308325383</x:v>
      </x:c>
      <x:c r="E48" s="98" t="n">
        <x:f>$C$6</x:f>
        <x:v>0.45</x:v>
      </x:c>
      <x:c r="F48" s="220" t="n">
        <x:f>D48*E48</x:f>
        <x:v>14.014816338746423</x:v>
      </x:c>
      <x:c r="G48" s="220" t="n">
        <x:f>B48+D48-F48</x:f>
        <x:v>200.32943354796356</x:v>
      </x:c>
      <x:c r="H48" s="99" t="n">
        <x:f>Inputs!$B$6</x:f>
        <x:v>814</x:v>
      </x:c>
      <x:c r="I48" s="224" t="n">
        <x:f>F48*H48</x:f>
        <x:v>11408.060499739588</x:v>
      </x:c>
      <x:c r="J48" s="224" t="str">
        <x:f>IF(A48=Inputs!$B$15,G48*$D$6,"")</x:f>
      </x:c>
      <x:c r="K48" s="224" t="str">
        <x:f>IF(A48=Inputs!$B$15,J48*H48+SUM($I$44:I48)+Inputs!$B$7,"")</x:f>
      </x:c>
      <x:c r="L48" s="96" t="str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 t="n">
        <x:v>6</x:v>
      </x:c>
      <x:c r="B49" s="220" t="n">
        <x:f>G48</x:f>
        <x:v>200.32943354796356</x:v>
      </x:c>
      <x:c r="C49" s="98" t="n">
        <x:f>$B$6</x:f>
        <x:v>0.17</x:v>
      </x:c>
      <x:c r="D49" s="220" t="n">
        <x:f>B49*C49</x:f>
        <x:v>34.056003703153806</x:v>
      </x:c>
      <x:c r="E49" s="98" t="n">
        <x:f>$C$6</x:f>
        <x:v>0.45</x:v>
      </x:c>
      <x:c r="F49" s="220" t="n">
        <x:f>D49*E49</x:f>
        <x:v>15.325201666419213</x:v>
      </x:c>
      <x:c r="G49" s="220" t="n">
        <x:f>B49+D49-F49</x:f>
        <x:v>219.06023558469815</x:v>
      </x:c>
      <x:c r="H49" s="99" t="n">
        <x:f>Inputs!$B$6</x:f>
        <x:v>814</x:v>
      </x:c>
      <x:c r="I49" s="224" t="n">
        <x:f>F49*H49</x:f>
        <x:v>12474.71415646524</x:v>
      </x:c>
      <x:c r="J49" s="224" t="str">
        <x:f>IF(A49=Inputs!$B$15,G49*$D$6,"")</x:f>
      </x:c>
      <x:c r="K49" s="224" t="str">
        <x:f>IF(A49=Inputs!$B$15,J49*H49+SUM($I$44:I49)+Inputs!$B$7,"")</x:f>
      </x:c>
      <x:c r="L49" s="96" t="str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 t="n">
        <x:v>7</x:v>
      </x:c>
      <x:c r="B50" s="220" t="n">
        <x:f>G49</x:f>
        <x:v>219.06023558469815</x:v>
      </x:c>
      <x:c r="C50" s="98" t="n">
        <x:f>$B$6</x:f>
        <x:v>0.17</x:v>
      </x:c>
      <x:c r="D50" s="220" t="n">
        <x:f>B50*C50</x:f>
        <x:v>37.240240049398686</x:v>
      </x:c>
      <x:c r="E50" s="98" t="n">
        <x:f>$C$6</x:f>
        <x:v>0.45</x:v>
      </x:c>
      <x:c r="F50" s="220" t="n">
        <x:f>D50*E50</x:f>
        <x:v>16.758108022229408</x:v>
      </x:c>
      <x:c r="G50" s="220" t="n">
        <x:f>B50+D50-F50</x:f>
        <x:v>239.5423676118674</x:v>
      </x:c>
      <x:c r="H50" s="99" t="n">
        <x:f>Inputs!$B$6</x:f>
        <x:v>814</x:v>
      </x:c>
      <x:c r="I50" s="224" t="n">
        <x:f>F50*H50</x:f>
        <x:v>13641.099930094737</x:v>
      </x:c>
      <x:c r="J50" s="224" t="str">
        <x:f>IF(A50=Inputs!$B$15,G50*$D$6,"")</x:f>
      </x:c>
      <x:c r="K50" s="224" t="str">
        <x:f>IF(A50=Inputs!$B$15,J50*H50+SUM($I$44:I50)+Inputs!$B$7,"")</x:f>
      </x:c>
      <x:c r="L50" s="96" t="str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 t="n">
        <x:v>8</x:v>
      </x:c>
      <x:c r="B51" s="220" t="n">
        <x:f>G50</x:f>
        <x:v>239.5423676118674</x:v>
      </x:c>
      <x:c r="C51" s="98" t="n">
        <x:f>$B$6</x:f>
        <x:v>0.17</x:v>
      </x:c>
      <x:c r="D51" s="220" t="n">
        <x:f>B51*C51</x:f>
        <x:v>40.72220249401746</x:v>
      </x:c>
      <x:c r="E51" s="98" t="n">
        <x:f>$C$6</x:f>
        <x:v>0.45</x:v>
      </x:c>
      <x:c r="F51" s="220" t="n">
        <x:f>D51*E51</x:f>
        <x:v>18.324991122307857</x:v>
      </x:c>
      <x:c r="G51" s="220" t="n">
        <x:f>B51+D51-F51</x:f>
        <x:v>261.939578983577</x:v>
      </x:c>
      <x:c r="H51" s="99" t="n">
        <x:f>Inputs!$B$6</x:f>
        <x:v>814</x:v>
      </x:c>
      <x:c r="I51" s="224" t="n">
        <x:f>F51*H51</x:f>
        <x:v>14916.542773558596</x:v>
      </x:c>
      <x:c r="J51" s="224" t="str">
        <x:f>IF(A51=Inputs!$B$15,G51*$D$6,"")</x:f>
      </x:c>
      <x:c r="K51" s="224" t="str">
        <x:f>IF(A51=Inputs!$B$15,J51*H51+SUM($I$44:I51)+Inputs!$B$7,"")</x:f>
      </x:c>
      <x:c r="L51" s="96" t="str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 t="n">
        <x:v>9</x:v>
      </x:c>
      <x:c r="B52" s="220" t="n">
        <x:f>G51</x:f>
        <x:v>261.939578983577</x:v>
      </x:c>
      <x:c r="C52" s="98" t="n">
        <x:f>$B$6</x:f>
        <x:v>0.17</x:v>
      </x:c>
      <x:c r="D52" s="220" t="n">
        <x:f>B52*C52</x:f>
        <x:v>44.52972842720809</x:v>
      </x:c>
      <x:c r="E52" s="98" t="n">
        <x:f>$C$6</x:f>
        <x:v>0.45</x:v>
      </x:c>
      <x:c r="F52" s="220" t="n">
        <x:f>D52*E52</x:f>
        <x:v>20.03837779224364</x:v>
      </x:c>
      <x:c r="G52" s="220" t="n">
        <x:f>B52+D52-F52</x:f>
        <x:v>286.4309296185415</x:v>
      </x:c>
      <x:c r="H52" s="99" t="n">
        <x:f>Inputs!$B$6</x:f>
        <x:v>814</x:v>
      </x:c>
      <x:c r="I52" s="224" t="n">
        <x:f>F52*H52</x:f>
        <x:v>16311.239522886322</x:v>
      </x:c>
      <x:c r="J52" s="224" t="str">
        <x:f>IF(A52=Inputs!$B$15,G52*$D$6,"")</x:f>
      </x:c>
      <x:c r="K52" s="224" t="str">
        <x:f>IF(A52=Inputs!$B$15,J52*H52+SUM($I$44:I52)+Inputs!$B$7,"")</x:f>
      </x:c>
      <x:c r="L52" s="96" t="str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 t="n">
        <x:v>10</x:v>
      </x:c>
      <x:c r="B53" s="220" t="n">
        <x:f>G52</x:f>
        <x:v>286.4309296185415</x:v>
      </x:c>
      <x:c r="C53" s="98" t="n">
        <x:f>$B$6</x:f>
        <x:v>0.17</x:v>
      </x:c>
      <x:c r="D53" s="220" t="n">
        <x:f>B53*C53</x:f>
        <x:v>48.693258035152056</x:v>
      </x:c>
      <x:c r="E53" s="98" t="n">
        <x:f>$C$6</x:f>
        <x:v>0.45</x:v>
      </x:c>
      <x:c r="F53" s="220" t="n">
        <x:f>D53*E53</x:f>
        <x:v>21.911966115818426</x:v>
      </x:c>
      <x:c r="G53" s="220" t="n">
        <x:f>B53+D53-F53</x:f>
        <x:v>313.2122215378751</x:v>
      </x:c>
      <x:c r="H53" s="99" t="n">
        <x:f>Inputs!$B$6</x:f>
        <x:v>814</x:v>
      </x:c>
      <x:c r="I53" s="224" t="n">
        <x:f>F53*H53</x:f>
        <x:v>17836.3404182762</x:v>
      </x:c>
      <x:c r="J53" s="224" t="n">
        <x:f>IF(A53=Inputs!$B$15,G53*$D$6,"")</x:f>
        <x:v>234.90916615340632</x:v>
      </x:c>
      <x:c r="K53" s="224" t="n">
        <x:f>IF(A53=Inputs!$B$15,J53*H53+SUM($I$44:I53)+Inputs!$B$7,"")</x:f>
        <x:v>314484.94079309754</x:v>
      </x:c>
      <x:c r="L53" s="96" t="str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220"/>
      <x:c r="C54" s="98"/>
      <x:c r="D54" s="220"/>
      <x:c r="E54" s="98"/>
      <x:c r="F54" s="220"/>
      <x:c r="G54" s="220"/>
      <x:c r="H54" s="99"/>
      <x:c r="I54" s="224"/>
      <x:c r="J54" s="224"/>
      <x:c r="K54" s="224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189" t="str">
        <x:v>Total dividendos / valor final</x:v>
      </x:c>
      <x:c r="B55" s="221"/>
      <x:c r="C55" s="191"/>
      <x:c r="D55" s="221"/>
      <x:c r="E55" s="191"/>
      <x:c r="F55" s="221"/>
      <x:c r="G55" s="221"/>
      <x:c r="H55" s="192"/>
      <x:c r="I55" s="225" t="n">
        <x:f>SUM(I44:I53)</x:f>
        <x:v>123264.75954422481</x:v>
      </x:c>
      <x:c r="J55" s="225"/>
      <x:c r="K55" s="225" t="n">
        <x:f>MAX(K44:K53)</x:f>
        <x:v>314484.94079309754</x:v>
      </x:c>
      <x:c r="L55" s="189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194" t="str">
        <x:v>Metodologia: modelo de banco por valor patrimonial. A cada ano: LPA = VPA inicial × ROE; DPA = LPA × payout; VPA final = VPA inicial + LPA - DPA; preço de saída = VPA ano 10 × P/VP de saída. Retornos são nominais, antes de impostos, corretagem, emolumentos, reinvestimento de dividendos e mudanças regulatórias.</x:v>
      </x:c>
      <x:c r="B58" s="194"/>
      <x:c r="C58" s="194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4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194"/>
      <x:c r="B59" s="194"/>
      <x:c r="C59" s="194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4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194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194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194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M1"/>
    <x:mergeCell ref="A10:L10"/>
    <x:mergeCell ref="A23:H23"/>
    <x:mergeCell ref="A26:L26"/>
    <x:mergeCell ref="A39:H39"/>
    <x:mergeCell ref="A42:L42"/>
    <x:mergeCell ref="A55:H55"/>
    <x:mergeCell ref="A58:M62"/>
  </x:mergeCells>
  <x:pageMargins left="0.7" right="0.7" top="0.75" bottom="0.75" header="0.3" footer="0.3"/>
  <x:tableParts count="1">
    <x:tablePart xmlns:r="http://schemas.openxmlformats.org/officeDocument/2006/relationships" r:id="Rd34217ab1bc646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64" t="str">
        <x:v>Sensibilidade — valor final e CAGR em 10 anos</x:v>
      </x:c>
      <x:c r="B1" s="164"/>
      <x:c r="C1" s="164"/>
      <x:c r="D1" s="164"/>
      <x:c r="E1" s="164"/>
      <x:c r="F1" s="164"/>
      <x:c r="G1" s="164"/>
      <x:c r="H1" s="164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Premissa fixa</x:v>
      </x:c>
      <x:c r="B3" s="165" t="str">
        <x:v>Valor</x:v>
      </x:c>
      <x:c r="C3" s="165" t="str">
        <x:v>Nota</x:v>
      </x:c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96" t="str">
        <x:v>Payout usado</x:v>
      </x:c>
      <x:c r="B4" s="171" t="n">
        <x:f>Inputs!B16</x:f>
        <x:v>0.37496432314732175</x:v>
      </x:c>
      <x:c r="C4" s="96" t="str">
        <x:v>Média fiscal aproximada 5a; altere em Inputs para atualizar modelo base.</x:v>
      </x:c>
      <x:c r="D4" s="96"/>
      <x:c r="E4" s="96"/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96" t="str">
        <x:v>Aporte</x:v>
      </x:c>
      <x:c r="B5" s="228" t="n">
        <x:f>Inputs!B4</x:f>
        <x:v>50000</x:v>
      </x:c>
      <x:c r="C5" s="96" t="str"/>
      <x:c r="D5" s="96"/>
      <x:c r="E5" s="96"/>
      <x:c r="F5" s="96"/>
      <x:c r="G5" s="96"/>
      <x:c r="H5" s="96"/>
      <x:c r="I5" s="96"/>
      <x:c r="J5" s="96"/>
      <x:c r="K5" s="96"/>
      <x:c r="L5" s="96"/>
      <x:c r="M5" s="96"/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96" t="str">
        <x:v>Ações</x:v>
      </x:c>
      <x:c r="B6" s="169" t="n">
        <x:f>Inputs!B6</x:f>
        <x:v>814</x:v>
      </x:c>
      <x:c r="C6" s="96" t="str"/>
      <x:c r="D6" s="96"/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96"/>
      <x:c r="B7" s="96"/>
      <x:c r="C7" s="96"/>
      <x:c r="D7" s="96"/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96"/>
      <x:c r="B8" s="96"/>
      <x:c r="C8" s="96"/>
      <x:c r="D8" s="96"/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166" t="str">
        <x:v>Valor final estimado (R$) — payout fixo</x:v>
      </x:c>
      <x:c r="B9" s="166"/>
      <x:c r="C9" s="166"/>
      <x:c r="D9" s="166"/>
      <x:c r="E9" s="166"/>
      <x:c r="F9" s="166"/>
      <x:c r="G9" s="16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65" t="str">
        <x:v>ROE \ P/VP saída</x:v>
      </x:c>
      <x:c r="B10" s="204" t="n">
        <x:v>0.35</x:v>
      </x:c>
      <x:c r="C10" s="204" t="n">
        <x:v>0.48</x:v>
      </x:c>
      <x:c r="D10" s="204" t="n">
        <x:v>0.55</x:v>
      </x:c>
      <x:c r="E10" s="204" t="n">
        <x:v>0.75</x:v>
      </x:c>
      <x:c r="F10" s="204" t="n">
        <x:v>1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182" t="n">
        <x:v>0.08</x:v>
      </x:c>
      <x:c r="B11" s="224" t="n">
        <x:f>Inputs!$B$6*(Inputs!$B$8*$A11*$B$4*IF($A11*(1-$B$4)=0,Inputs!$B$15,((1+$A11*(1-$B$4))^Inputs!$B$15-1)/($A11*(1-$B$4)))+Inputs!$B$8*(1+$A11*(1-$B$4))^Inputs!$B$15*B$10)+Inputs!$B$7</x:f>
        <x:v>98819.47501444862</x:v>
      </x:c>
      <x:c r="C11" s="224" t="n">
        <x:f>Inputs!$B$6*(Inputs!$B$8*$A11*$B$4*IF($A11*(1-$B$4)=0,Inputs!$B$15,((1+$A11*(1-$B$4))^Inputs!$B$15-1)/($A11*(1-$B$4)))+Inputs!$B$8*(1+$A11*(1-$B$4))^Inputs!$B$15*C$10)+Inputs!$B$7</x:f>
        <x:v>120905.79597962598</x:v>
      </x:c>
      <x:c r="D11" s="224" t="n">
        <x:f>Inputs!$B$6*(Inputs!$B$8*$A11*$B$4*IF($A11*(1-$B$4)=0,Inputs!$B$15,((1+$A11*(1-$B$4))^Inputs!$B$15-1)/($A11*(1-$B$4)))+Inputs!$B$8*(1+$A11*(1-$B$4))^Inputs!$B$15*D$10)+Inputs!$B$7</x:f>
        <x:v>132798.43034549072</x:v>
      </x:c>
      <x:c r="E11" s="224" t="n">
        <x:f>Inputs!$B$6*(Inputs!$B$8*$A11*$B$4*IF($A11*(1-$B$4)=0,Inputs!$B$15,((1+$A11*(1-$B$4))^Inputs!$B$15-1)/($A11*(1-$B$4)))+Inputs!$B$8*(1+$A11*(1-$B$4))^Inputs!$B$15*E$10)+Inputs!$B$7</x:f>
        <x:v>166777.3856765328</x:v>
      </x:c>
      <x:c r="F11" s="224" t="n">
        <x:f>Inputs!$B$6*(Inputs!$B$8*$A11*$B$4*IF($A11*(1-$B$4)=0,Inputs!$B$15,((1+$A11*(1-$B$4))^Inputs!$B$15-1)/($A11*(1-$B$4)))+Inputs!$B$8*(1+$A11*(1-$B$4))^Inputs!$B$15*F$10)+Inputs!$B$7</x:f>
        <x:v>209251.07984033538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182" t="n">
        <x:v>0.1</x:v>
      </x:c>
      <x:c r="B12" s="224" t="n">
        <x:f>Inputs!$B$6*(Inputs!$B$8*$A12*$B$4*IF($A12*(1-$B$4)=0,Inputs!$B$15,((1+$A12*(1-$B$4))^Inputs!$B$15-1)/($A12*(1-$B$4)))+Inputs!$B$8*(1+$A12*(1-$B$4))^Inputs!$B$15*B$10)+Inputs!$B$7</x:f>
        <x:v>119095.68272664034</x:v>
      </x:c>
      <x:c r="C12" s="224" t="n">
        <x:f>Inputs!$B$6*(Inputs!$B$8*$A12*$B$4*IF($A12*(1-$B$4)=0,Inputs!$B$15,((1+$A12*(1-$B$4))^Inputs!$B$15-1)/($A12*(1-$B$4)))+Inputs!$B$8*(1+$A12*(1-$B$4))^Inputs!$B$15*C$10)+Inputs!$B$7</x:f>
        <x:v>143956.90940536364</x:v>
      </x:c>
      <x:c r="D12" s="224" t="n">
        <x:f>Inputs!$B$6*(Inputs!$B$8*$A12*$B$4*IF($A12*(1-$B$4)=0,Inputs!$B$15,((1+$A12*(1-$B$4))^Inputs!$B$15-1)/($A12*(1-$B$4)))+Inputs!$B$8*(1+$A12*(1-$B$4))^Inputs!$B$15*D$10)+Inputs!$B$7</x:f>
        <x:v>157343.72377083002</x:v>
      </x:c>
      <x:c r="E12" s="224" t="n">
        <x:f>Inputs!$B$6*(Inputs!$B$8*$A12*$B$4*IF($A12*(1-$B$4)=0,Inputs!$B$15,((1+$A12*(1-$B$4))^Inputs!$B$15-1)/($A12*(1-$B$4)))+Inputs!$B$8*(1+$A12*(1-$B$4))^Inputs!$B$15*E$10)+Inputs!$B$7</x:f>
        <x:v>195591.7648150197</x:v>
      </x:c>
      <x:c r="F12" s="224" t="n">
        <x:f>Inputs!$B$6*(Inputs!$B$8*$A12*$B$4*IF($A12*(1-$B$4)=0,Inputs!$B$15,((1+$A12*(1-$B$4))^Inputs!$B$15-1)/($A12*(1-$B$4)))+Inputs!$B$8*(1+$A12*(1-$B$4))^Inputs!$B$15*F$10)+Inputs!$B$7</x:f>
        <x:v>243401.81612025682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182" t="n">
        <x:v>0.13</x:v>
      </x:c>
      <x:c r="B13" s="224" t="n">
        <x:f>Inputs!$B$6*(Inputs!$B$8*$A13*$B$4*IF($A13*(1-$B$4)=0,Inputs!$B$15,((1+$A13*(1-$B$4))^Inputs!$B$15-1)/($A13*(1-$B$4)))+Inputs!$B$8*(1+$A13*(1-$B$4))^Inputs!$B$15*B$10)+Inputs!$B$7</x:f>
        <x:v>153824.8189637984</x:v>
      </x:c>
      <x:c r="C13" s="224" t="n">
        <x:f>Inputs!$B$6*(Inputs!$B$8*$A13*$B$4*IF($A13*(1-$B$4)=0,Inputs!$B$15,((1+$A13*(1-$B$4))^Inputs!$B$15-1)/($A13*(1-$B$4)))+Inputs!$B$8*(1+$A13*(1-$B$4))^Inputs!$B$15*C$10)+Inputs!$B$7</x:f>
        <x:v>183438.91067226097</x:v>
      </x:c>
      <x:c r="D13" s="224" t="n">
        <x:f>Inputs!$B$6*(Inputs!$B$8*$A13*$B$4*IF($A13*(1-$B$4)=0,Inputs!$B$15,((1+$A13*(1-$B$4))^Inputs!$B$15-1)/($A13*(1-$B$4)))+Inputs!$B$8*(1+$A13*(1-$B$4))^Inputs!$B$15*D$10)+Inputs!$B$7</x:f>
        <x:v>199384.96005374077</x:v>
      </x:c>
      <x:c r="E13" s="224" t="n">
        <x:f>Inputs!$B$6*(Inputs!$B$8*$A13*$B$4*IF($A13*(1-$B$4)=0,Inputs!$B$15,((1+$A13*(1-$B$4))^Inputs!$B$15-1)/($A13*(1-$B$4)))+Inputs!$B$8*(1+$A13*(1-$B$4))^Inputs!$B$15*E$10)+Inputs!$B$7</x:f>
        <x:v>244945.10114368313</x:v>
      </x:c>
      <x:c r="F13" s="224" t="n">
        <x:f>Inputs!$B$6*(Inputs!$B$8*$A13*$B$4*IF($A13*(1-$B$4)=0,Inputs!$B$15,((1+$A13*(1-$B$4))^Inputs!$B$15-1)/($A13*(1-$B$4)))+Inputs!$B$8*(1+$A13*(1-$B$4))^Inputs!$B$15*F$10)+Inputs!$B$7</x:f>
        <x:v>301895.2775061111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182" t="n">
        <x:v>0.16</x:v>
      </x:c>
      <x:c r="B14" s="224" t="n">
        <x:f>Inputs!$B$6*(Inputs!$B$8*$A14*$B$4*IF($A14*(1-$B$4)=0,Inputs!$B$15,((1+$A14*(1-$B$4))^Inputs!$B$15-1)/($A14*(1-$B$4)))+Inputs!$B$8*(1+$A14*(1-$B$4))^Inputs!$B$15*B$10)+Inputs!$B$7</x:f>
        <x:v>194419.18266068248</x:v>
      </x:c>
      <x:c r="C14" s="224" t="n">
        <x:f>Inputs!$B$6*(Inputs!$B$8*$A14*$B$4*IF($A14*(1-$B$4)=0,Inputs!$B$15,((1+$A14*(1-$B$4))^Inputs!$B$15-1)/($A14*(1-$B$4)))+Inputs!$B$8*(1+$A14*(1-$B$4))^Inputs!$B$15*C$10)+Inputs!$B$7</x:f>
        <x:v>229588.82663804953</x:v>
      </x:c>
      <x:c r="D14" s="224" t="n">
        <x:f>Inputs!$B$6*(Inputs!$B$8*$A14*$B$4*IF($A14*(1-$B$4)=0,Inputs!$B$15,((1+$A14*(1-$B$4))^Inputs!$B$15-1)/($A14*(1-$B$4)))+Inputs!$B$8*(1+$A14*(1-$B$4))^Inputs!$B$15*D$10)+Inputs!$B$7</x:f>
        <x:v>248526.32724124717</x:v>
      </x:c>
      <x:c r="E14" s="224" t="n">
        <x:f>Inputs!$B$6*(Inputs!$B$8*$A14*$B$4*IF($A14*(1-$B$4)=0,Inputs!$B$15,((1+$A14*(1-$B$4))^Inputs!$B$15-1)/($A14*(1-$B$4)))+Inputs!$B$8*(1+$A14*(1-$B$4))^Inputs!$B$15*E$10)+Inputs!$B$7</x:f>
        <x:v>302633.4718218118</x:v>
      </x:c>
      <x:c r="F14" s="224" t="n">
        <x:f>Inputs!$B$6*(Inputs!$B$8*$A14*$B$4*IF($A14*(1-$B$4)=0,Inputs!$B$15,((1+$A14*(1-$B$4))^Inputs!$B$15-1)/($A14*(1-$B$4)))+Inputs!$B$8*(1+$A14*(1-$B$4))^Inputs!$B$15*F$10)+Inputs!$B$7</x:f>
        <x:v>370267.4025475176</x:v>
      </x:c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182" t="n">
        <x:v>0.18</x:v>
      </x:c>
      <x:c r="B15" s="224" t="n">
        <x:f>Inputs!$B$6*(Inputs!$B$8*$A15*$B$4*IF($A15*(1-$B$4)=0,Inputs!$B$15,((1+$A15*(1-$B$4))^Inputs!$B$15-1)/($A15*(1-$B$4)))+Inputs!$B$8*(1+$A15*(1-$B$4))^Inputs!$B$15*B$10)+Inputs!$B$7</x:f>
        <x:v>225163.1007604288</x:v>
      </x:c>
      <x:c r="C15" s="224" t="n">
        <x:f>Inputs!$B$6*(Inputs!$B$8*$A15*$B$4*IF($A15*(1-$B$4)=0,Inputs!$B$15,((1+$A15*(1-$B$4))^Inputs!$B$15-1)/($A15*(1-$B$4)))+Inputs!$B$8*(1+$A15*(1-$B$4))^Inputs!$B$15*C$10)+Inputs!$B$7</x:f>
        <x:v>264540.21169624873</x:v>
      </x:c>
      <x:c r="D15" s="224" t="n">
        <x:f>Inputs!$B$6*(Inputs!$B$8*$A15*$B$4*IF($A15*(1-$B$4)=0,Inputs!$B$15,((1+$A15*(1-$B$4))^Inputs!$B$15-1)/($A15*(1-$B$4)))+Inputs!$B$8*(1+$A15*(1-$B$4))^Inputs!$B$15*D$10)+Inputs!$B$7</x:f>
        <x:v>285743.27143092104</x:v>
      </x:c>
      <x:c r="E15" s="224" t="n">
        <x:f>Inputs!$B$6*(Inputs!$B$8*$A15*$B$4*IF($A15*(1-$B$4)=0,Inputs!$B$15,((1+$A15*(1-$B$4))^Inputs!$B$15-1)/($A15*(1-$B$4)))+Inputs!$B$8*(1+$A15*(1-$B$4))^Inputs!$B$15*E$10)+Inputs!$B$7</x:f>
        <x:v>346323.4421014132</x:v>
      </x:c>
      <x:c r="F15" s="224" t="n">
        <x:f>Inputs!$B$6*(Inputs!$B$8*$A15*$B$4*IF($A15*(1-$B$4)=0,Inputs!$B$15,((1+$A15*(1-$B$4))^Inputs!$B$15-1)/($A15*(1-$B$4)))+Inputs!$B$8*(1+$A15*(1-$B$4))^Inputs!$B$15*F$10)+Inputs!$B$7</x:f>
        <x:v>422048.6554395284</x:v>
      </x:c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96"/>
      <x:c r="B16" s="96"/>
      <x:c r="C16" s="96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96"/>
      <x:c r="B17" s="96"/>
      <x:c r="C17" s="96"/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66" t="str">
        <x:v>CAGR estimado — payout fixo</x:v>
      </x:c>
      <x:c r="B18" s="166"/>
      <x:c r="C18" s="166"/>
      <x:c r="D18" s="166"/>
      <x:c r="E18" s="166"/>
      <x:c r="F18" s="166"/>
      <x:c r="G18" s="16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65" t="str">
        <x:v>ROE \ P/VP saída</x:v>
      </x:c>
      <x:c r="B19" s="204" t="n">
        <x:v>0.35</x:v>
      </x:c>
      <x:c r="C19" s="204" t="n">
        <x:v>0.48</x:v>
      </x:c>
      <x:c r="D19" s="204" t="n">
        <x:v>0.55</x:v>
      </x:c>
      <x:c r="E19" s="204" t="n">
        <x:v>0.75</x:v>
      </x:c>
      <x:c r="F19" s="204" t="n">
        <x:v>1</x:v>
      </x:c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82" t="n">
        <x:v>0.08</x:v>
      </x:c>
      <x:c r="B20" s="98" t="n">
        <x:f>(B11/Inputs!$B$4)^(1/Inputs!$B$15)-1</x:f>
        <x:v>0.07050143500148165</x:v>
      </x:c>
      <x:c r="C20" s="98" t="n">
        <x:f>(C11/Inputs!$B$4)^(1/Inputs!$B$15)-1</x:f>
        <x:v>0.09231453234511511</x:v>
      </x:c>
      <x:c r="D20" s="98" t="n">
        <x:f>(D11/Inputs!$B$4)^(1/Inputs!$B$15)-1</x:f>
        <x:v>0.10261093124407128</x:v>
      </x:c>
      <x:c r="E20" s="98" t="n">
        <x:f>(E11/Inputs!$B$4)^(1/Inputs!$B$15)-1</x:f>
        <x:v>0.12801978157867122</x:v>
      </x:c>
      <x:c r="F20" s="98" t="n">
        <x:f>(F11/Inputs!$B$4)^(1/Inputs!$B$15)-1</x:f>
        <x:v>0.15390424316010187</x:v>
      </x:c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82" t="n">
        <x:v>0.1</x:v>
      </x:c>
      <x:c r="B21" s="98" t="n">
        <x:f>(B12/Inputs!$B$4)^(1/Inputs!$B$15)-1</x:f>
        <x:v>0.0906680758531464</x:v>
      </x:c>
      <x:c r="C21" s="98" t="n">
        <x:f>(C12/Inputs!$B$4)^(1/Inputs!$B$15)-1</x:f>
        <x:v>0.11154295640423006</x:v>
      </x:c>
      <x:c r="D21" s="98" t="n">
        <x:f>(D12/Inputs!$B$4)^(1/Inputs!$B$15)-1</x:f>
        <x:v>0.12147072703880646</x:v>
      </x:c>
      <x:c r="E21" s="98" t="n">
        <x:f>(E12/Inputs!$B$4)^(1/Inputs!$B$15)-1</x:f>
        <x:v>0.14614102010099828</x:v>
      </x:c>
      <x:c r="F21" s="98" t="n">
        <x:f>(F12/Inputs!$B$4)^(1/Inputs!$B$15)-1</x:f>
        <x:v>0.1714813553631691</x:v>
      </x:c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82" t="n">
        <x:v>0.13</x:v>
      </x:c>
      <x:c r="B22" s="98" t="n">
        <x:f>(B13/Inputs!$B$4)^(1/Inputs!$B$15)-1</x:f>
        <x:v>0.11893701516527333</x:v>
      </x:c>
      <x:c r="C22" s="98" t="n">
        <x:f>(C13/Inputs!$B$4)^(1/Inputs!$B$15)-1</x:f>
        <x:v>0.13881229119779404</x:v>
      </x:c>
      <x:c r="D22" s="98" t="n">
        <x:f>(D13/Inputs!$B$4)^(1/Inputs!$B$15)-1</x:f>
        <x:v>0.1483446175173333</x:v>
      </x:c>
      <x:c r="E22" s="98" t="n">
        <x:f>(E13/Inputs!$B$4)^(1/Inputs!$B$15)-1</x:f>
        <x:v>0.17222202026997446</x:v>
      </x:c>
      <x:c r="F22" s="98" t="n">
        <x:f>(F13/Inputs!$B$4)^(1/Inputs!$B$15)-1</x:f>
        <x:v>0.19698478895907634</x:v>
      </x:c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82" t="n">
        <x:v>0.16</x:v>
      </x:c>
      <x:c r="B23" s="98" t="n">
        <x:f>(B14/Inputs!$B$4)^(1/Inputs!$B$15)-1</x:f>
        <x:v>0.14545204222415498</x:v>
      </x:c>
      <x:c r="C23" s="98" t="n">
        <x:f>(C14/Inputs!$B$4)^(1/Inputs!$B$15)-1</x:f>
        <x:v>0.16465708882829633</x:v>
      </x:c>
      <x:c r="D23" s="98" t="n">
        <x:f>(D14/Inputs!$B$4)^(1/Inputs!$B$15)-1</x:f>
        <x:v>0.17392469795437537</x:v>
      </x:c>
      <x:c r="E23" s="98" t="n">
        <x:f>(E14/Inputs!$B$4)^(1/Inputs!$B$15)-1</x:f>
        <x:v>0.1972771541159577</x:v>
      </x:c>
      <x:c r="F23" s="98" t="n">
        <x:f>(F14/Inputs!$B$4)^(1/Inputs!$B$15)-1</x:f>
        <x:v>0.22167179548626859</x:v>
      </x:c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82" t="n">
        <x:v>0.18</x:v>
      </x:c>
      <x:c r="B24" s="98" t="n">
        <x:f>(B15/Inputs!$B$4)^(1/Inputs!$B$15)-1</x:f>
        <x:v>0.1623922925810064</x:v>
      </x:c>
      <x:c r="C24" s="98" t="n">
        <x:f>(C15/Inputs!$B$4)^(1/Inputs!$B$15)-1</x:f>
        <x:v>0.18127814540663612</x:v>
      </x:c>
      <x:c r="D24" s="98" t="n">
        <x:f>(D15/Inputs!$B$4)^(1/Inputs!$B$15)-1</x:f>
        <x:v>0.190421058237771</x:v>
      </x:c>
      <x:c r="E24" s="98" t="n">
        <x:f>(E15/Inputs!$B$4)^(1/Inputs!$B$15)-1</x:f>
        <x:v>0.21353187601640133</x:v>
      </x:c>
      <x:c r="F24" s="98" t="n">
        <x:f>(F15/Inputs!$B$4)^(1/Inputs!$B$15)-1</x:f>
        <x:v>0.23776800278603538</x:v>
      </x:c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96"/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96"/>
      <x:c r="B26" s="96"/>
      <x:c r="C26" s="96"/>
      <x:c r="D26" s="96"/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96"/>
      <x:c r="B27" s="96"/>
      <x:c r="C27" s="96"/>
      <x:c r="D27" s="96"/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96"/>
      <x:c r="B29" s="9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96"/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96"/>
      <x:c r="B31" s="96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/>
      <x:c r="B32" s="96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/>
      <x:c r="B33" s="96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/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96"/>
      <x:c r="B42" s="96"/>
      <x:c r="C42" s="96"/>
      <x:c r="D42" s="96"/>
      <x:c r="E42" s="96"/>
      <x:c r="F42" s="96"/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96"/>
      <x:c r="B43" s="96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/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/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/>
      <x:c r="B46" s="96"/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/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/>
      <x:c r="B51" s="96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/>
      <x:c r="B52" s="96"/>
      <x:c r="C52" s="96"/>
      <x:c r="D52" s="96"/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/>
      <x:c r="B53" s="96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H1"/>
    <x:mergeCell ref="A9:G9"/>
    <x:mergeCell ref="A18:G18"/>
  </x:mergeCells>
  <x:conditionalFormatting sqref="B11:F15">
    <x:cfRule type="colorScale" priority="1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conditionalFormatting sqref="B20:F24">
    <x:cfRule type="colorScale" priority="2">
      <x:colorScale>
        <x:cfvo type="min"/>
        <x:cfvo type="percentile" val="50"/>
        <x:cfvo type="max"/>
        <x:color rgb="FCE4D6"/>
        <x:color rgb="FFF2CC"/>
        <x:color rgb="E2F0D9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f3b843bf24e46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0" hidden="0" customWidth="1"/>
    <x:col min="6" max="6" width="60" hidden="0" customWidth="1"/>
  </x:cols>
  <x:sheetData>
    <x:row r="1">
      <x:c r="A1" s="164" t="str">
        <x:v>Curiosidade — boom de julho de 2007 em BAZA3</x:v>
      </x:c>
      <x:c r="B1" s="164"/>
      <x:c r="C1" s="164"/>
      <x:c r="D1" s="164"/>
      <x:c r="E1" s="164"/>
      <x:c r="F1" s="164"/>
      <x:c r="G1" s="164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Pergunta</x:v>
      </x:c>
      <x:c r="B3" s="165" t="str">
        <x:v>Resposta resumida</x:v>
      </x:c>
      <x:c r="C3" s="96"/>
      <x:c r="D3" s="96"/>
      <x:c r="E3" s="96"/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21" t="str">
        <x:v>O que aconteceu?</x:v>
      </x:c>
      <x:c r="B4" s="21" t="str">
        <x:v>A Bovespa consultou a companhia por forte oscilação nas ações ON entre 02/07/2007 e 05/07/2007.</x:v>
      </x:c>
      <x:c r="C4" s="96"/>
      <x:c r="D4" s="96"/>
      <x:c r="E4" s="96"/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21" t="str">
        <x:v>Resposta oficial do banco</x:v>
      </x:c>
      <x:c r="B5" s="21" t="str">
        <x:v>O Banco da Amazônia afirmou que desconhecia fato extraordinário nas operações correntes que justificasse as oscilações.</x:v>
      </x:c>
      <x:c r="C5" s="96"/>
      <x:c r="D5" s="96"/>
      <x:c r="E5" s="96"/>
      <x:c r="F5" s="96"/>
      <x:c r="G5" s="96"/>
      <x:c r="H5" s="96"/>
      <x:c r="I5" s="96"/>
      <x:c r="J5" s="96"/>
      <x:c r="K5" s="96"/>
      <x:c r="L5" s="96"/>
      <x:c r="M5" s="96"/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21" t="str">
        <x:v>Leitura provável</x:v>
      </x:c>
      <x:c r="B6" s="21" t="str">
        <x:v>Movimento típico de papel ilíquido: preço pequeno na época, baixa liquidez e especulação de mercado; nada oficial confirmou um catalisador.</x:v>
      </x:c>
      <x:c r="C6" s="96"/>
      <x:c r="D6" s="96"/>
      <x:c r="E6" s="96"/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21" t="str">
        <x:v>Rumores de fórum</x:v>
      </x:c>
      <x:c r="B7" s="21" t="str">
        <x:v>Havia conversas de investidores comparando BAZA com BESC/BEES e possíveis movimentos envolvendo Banco do Brasil; tratar como rumor, não como fato.</x:v>
      </x:c>
      <x:c r="C7" s="96"/>
      <x:c r="D7" s="96"/>
      <x:c r="E7" s="96"/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96"/>
      <x:c r="B8" s="96"/>
      <x:c r="C8" s="96"/>
      <x:c r="D8" s="96"/>
      <x:c r="E8" s="96"/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96"/>
      <x:c r="B9" s="96"/>
      <x:c r="C9" s="96"/>
      <x:c r="D9" s="96"/>
      <x:c r="E9" s="96"/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165" t="str">
        <x:v>Dia</x:v>
      </x:c>
      <x:c r="B10" s="165" t="str">
        <x:v>Mínimo (R$)</x:v>
      </x:c>
      <x:c r="C10" s="165" t="str">
        <x:v>Máximo (R$)</x:v>
      </x:c>
      <x:c r="D10" s="165" t="str">
        <x:v>Último (R$)</x:v>
      </x:c>
      <x:c r="E10" s="165" t="str">
        <x:v>Oscilação do dia</x:v>
      </x:c>
      <x:c r="F10" s="165" t="str">
        <x:v>Fonte URL</x:v>
      </x:c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206" t="n">
        <x:v>39265</x:v>
      </x:c>
      <x:c r="B11" s="220" t="n">
        <x:v>1.21</x:v>
      </x:c>
      <x:c r="C11" s="220" t="n">
        <x:v>1.32</x:v>
      </x:c>
      <x:c r="D11" s="220" t="n">
        <x:v>1.3</x:v>
      </x:c>
      <x:c r="E11" s="98" t="n">
        <x:v>0.0833</x:v>
      </x:c>
      <x:c r="F11" s="96" t="str">
        <x:v>https://br.advfn.com/forum/baza3/173365/147</x:v>
      </x:c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206" t="n">
        <x:v>39266</x:v>
      </x:c>
      <x:c r="B12" s="220" t="n">
        <x:v>1.3</x:v>
      </x:c>
      <x:c r="C12" s="220" t="n">
        <x:v>1.4</x:v>
      </x:c>
      <x:c r="D12" s="220" t="n">
        <x:v>1.34</x:v>
      </x:c>
      <x:c r="E12" s="98" t="n">
        <x:v>0.0307</x:v>
      </x:c>
      <x:c r="F12" s="96" t="str">
        <x:v>https://br.advfn.com/forum/baza3/173365/147</x:v>
      </x:c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206" t="n">
        <x:v>39267</x:v>
      </x:c>
      <x:c r="B13" s="220" t="n">
        <x:v>1.32</x:v>
      </x:c>
      <x:c r="C13" s="220" t="n">
        <x:v>1.5</x:v>
      </x:c>
      <x:c r="D13" s="220" t="n">
        <x:v>1.49</x:v>
      </x:c>
      <x:c r="E13" s="98" t="n">
        <x:v>0.1119</x:v>
      </x:c>
      <x:c r="F13" s="96" t="str">
        <x:v>https://br.advfn.com/forum/baza3/173365/147</x:v>
      </x:c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206" t="n">
        <x:v>39268</x:v>
      </x:c>
      <x:c r="B14" s="220" t="n">
        <x:v>1.53</x:v>
      </x:c>
      <x:c r="C14" s="220" t="n">
        <x:v>2.29</x:v>
      </x:c>
      <x:c r="D14" s="220" t="n">
        <x:v>1.89</x:v>
      </x:c>
      <x:c r="E14" s="98" t="n">
        <x:v>0.2684</x:v>
      </x:c>
      <x:c r="F14" s="96" t="str">
        <x:v>https://br.advfn.com/forum/baza3/173365/147</x:v>
      </x:c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96"/>
      <x:c r="B15" s="96"/>
      <x:c r="C15" s="96"/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96"/>
      <x:c r="B16" s="96"/>
      <x:c r="C16" s="96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65" t="str">
        <x:v>Cálculo</x:v>
      </x:c>
      <x:c r="B17" s="165" t="str">
        <x:v>Valor</x:v>
      </x:c>
      <x:c r="C17" s="165" t="str">
        <x:v>Nota</x:v>
      </x:c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96" t="str">
        <x:v>Alta do último preço 02/07 → 05/07</x:v>
      </x:c>
      <x:c r="B18" s="98" t="n">
        <x:f>D14/D11-1</x:f>
        <x:v>0.4538461538461538</x:v>
      </x:c>
      <x:c r="C18" s="21" t="str">
        <x:v>Com base no quadro reproduzido pela Bovespa no pedido GAE 1570/07.</x:v>
      </x:c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96" t="str">
        <x:v>Amplitude mínima-máxima do período</x:v>
      </x:c>
      <x:c r="B19" s="98" t="n">
        <x:f>C14/B11-1</x:f>
        <x:v>0.8925619834710745</x:v>
      </x:c>
      <x:c r="C19" s="21" t="str">
        <x:v>De R$1,21 mínima em 02/07 para R$2,29 máxima em 05/07.</x:v>
      </x:c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96" t="str">
        <x:v>Data da resposta da companhia</x:v>
      </x:c>
      <x:c r="B20" s="206" t="n">
        <x:v>39272</x:v>
      </x:c>
      <x:c r="C20" s="21" t="str">
        <x:v>Carta nº 2007/100, Belém (PA).</x:v>
      </x:c>
      <x:c r="D20" s="96"/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96"/>
      <x:c r="B21" s="96"/>
      <x:c r="C21" s="96"/>
      <x:c r="D21" s="96"/>
      <x:c r="E21" s="96"/>
      <x:c r="F21" s="96"/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96"/>
      <x:c r="B22" s="96"/>
      <x:c r="C22" s="96"/>
      <x:c r="D22" s="96"/>
      <x:c r="E22" s="96"/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194" t="str">
        <x:v>Nota de qualidade da fonte: a resposta oficial é reproduzida em fórum ADVFN com o texto da carta enviada à Bovespa/CVM. A planilha separa fatos oficiais (consulta/declaração de inexistência de fato extraordinário) de comentários de investidores, que são apenas contexto de mercado.</x:v>
      </x:c>
      <x:c r="B23" s="194"/>
      <x:c r="C23" s="194"/>
      <x:c r="D23" s="194"/>
      <x:c r="E23" s="194"/>
      <x:c r="F23" s="194"/>
      <x:c r="G23" s="194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194"/>
      <x:c r="B24" s="194"/>
      <x:c r="C24" s="194"/>
      <x:c r="D24" s="194"/>
      <x:c r="E24" s="194"/>
      <x:c r="F24" s="194"/>
      <x:c r="G24" s="194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194"/>
      <x:c r="B25" s="194"/>
      <x:c r="C25" s="194"/>
      <x:c r="D25" s="194"/>
      <x:c r="E25" s="194"/>
      <x:c r="F25" s="194"/>
      <x:c r="G25" s="194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194"/>
      <x:c r="B26" s="194"/>
      <x:c r="C26" s="194"/>
      <x:c r="D26" s="194"/>
      <x:c r="E26" s="194"/>
      <x:c r="F26" s="194"/>
      <x:c r="G26" s="194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194"/>
      <x:c r="B27" s="194"/>
      <x:c r="C27" s="194"/>
      <x:c r="D27" s="194"/>
      <x:c r="E27" s="194"/>
      <x:c r="F27" s="194"/>
      <x:c r="G27" s="194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194"/>
      <x:c r="B28" s="194"/>
      <x:c r="C28" s="194"/>
      <x:c r="D28" s="194"/>
      <x:c r="E28" s="194"/>
      <x:c r="F28" s="194"/>
      <x:c r="G28" s="194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96"/>
      <x:c r="B29" s="9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96"/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96"/>
      <x:c r="B31" s="96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/>
      <x:c r="B32" s="96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/>
      <x:c r="B33" s="96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/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96"/>
      <x:c r="B42" s="96"/>
      <x:c r="C42" s="96"/>
      <x:c r="D42" s="96"/>
      <x:c r="E42" s="96"/>
      <x:c r="F42" s="96"/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96"/>
      <x:c r="B43" s="96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/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/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/>
      <x:c r="B46" s="96"/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/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/>
      <x:c r="B51" s="96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/>
      <x:c r="B52" s="96"/>
      <x:c r="C52" s="96"/>
      <x:c r="D52" s="96"/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/>
      <x:c r="B53" s="96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G1"/>
    <x:mergeCell ref="A23:G28"/>
  </x:mergeCells>
  <x:pageMargins left="0.7" right="0.7" top="0.75" bottom="0.75" header="0.3" footer="0.3"/>
  <x:tableParts count="3">
    <x:tablePart xmlns:r="http://schemas.openxmlformats.org/officeDocument/2006/relationships" r:id="R0bb6cbc49b5945d8"/>
    <x:tablePart xmlns:r="http://schemas.openxmlformats.org/officeDocument/2006/relationships" r:id="R67cbf69fa62f4dbd"/>
    <x:tablePart xmlns:r="http://schemas.openxmlformats.org/officeDocument/2006/relationships" r:id="R5f11b0fe8aa444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38" hidden="0" customWidth="1"/>
    <x:col min="4" max="4" width="60" hidden="0" customWidth="1"/>
    <x:col min="5" max="5" width="16" hidden="0" customWidth="1"/>
  </x:cols>
  <x:sheetData>
    <x:row r="1">
      <x:c r="A1" s="164" t="str">
        <x:v>Fontes, premissas e limitações</x:v>
      </x:c>
      <x:c r="B1" s="164"/>
      <x:c r="C1" s="164"/>
      <x:c r="D1" s="164"/>
      <x:c r="E1" s="164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</x:row>
    <x:row r="2">
      <x:c r="A2" s="96"/>
      <x:c r="B2" s="96"/>
      <x:c r="C2" s="96"/>
      <x:c r="D2" s="96"/>
      <x:c r="E2" s="96"/>
      <x:c r="F2" s="96"/>
      <x:c r="G2" s="96"/>
      <x:c r="H2" s="96"/>
      <x:c r="I2" s="96"/>
      <x:c r="J2" s="96"/>
      <x:c r="K2" s="96"/>
      <x:c r="L2" s="96"/>
      <x:c r="M2" s="96"/>
      <x:c r="N2" s="96"/>
      <x:c r="O2" s="96"/>
      <x:c r="P2" s="96"/>
      <x:c r="Q2" s="96"/>
      <x:c r="R2" s="96"/>
      <x:c r="S2" s="96"/>
      <x:c r="T2" s="96"/>
      <x:c r="U2" s="96"/>
      <x:c r="V2" s="96"/>
      <x:c r="W2" s="96"/>
      <x:c r="X2" s="96"/>
      <x:c r="Y2" s="96"/>
      <x:c r="Z2" s="96"/>
    </x:row>
    <x:row r="3">
      <x:c r="A3" s="165" t="str">
        <x:v>Fonte</x:v>
      </x:c>
      <x:c r="B3" s="165" t="str">
        <x:v>URL</x:v>
      </x:c>
      <x:c r="C3" s="165" t="str">
        <x:v>Uso no modelo</x:v>
      </x:c>
      <x:c r="D3" s="165" t="str">
        <x:v>Observações</x:v>
      </x:c>
      <x:c r="E3" s="165" t="str">
        <x:v>Data de consulta</x:v>
      </x:c>
      <x:c r="F3" s="96"/>
      <x:c r="G3" s="96"/>
      <x:c r="H3" s="96"/>
      <x:c r="I3" s="96"/>
      <x:c r="J3" s="96"/>
      <x:c r="K3" s="96"/>
      <x:c r="L3" s="96"/>
      <x:c r="M3" s="96"/>
      <x:c r="N3" s="96"/>
      <x:c r="O3" s="96"/>
      <x:c r="P3" s="96"/>
      <x:c r="Q3" s="96"/>
      <x:c r="R3" s="96"/>
      <x:c r="S3" s="96"/>
      <x:c r="T3" s="96"/>
      <x:c r="U3" s="96"/>
      <x:c r="V3" s="96"/>
      <x:c r="W3" s="96"/>
      <x:c r="X3" s="96"/>
      <x:c r="Y3" s="96"/>
      <x:c r="Z3" s="96"/>
    </x:row>
    <x:row r="4">
      <x:c r="A4" s="21" t="str">
        <x:v>Dados de Mercado — BAZA3</x:v>
      </x:c>
      <x:c r="B4" s="21" t="str">
        <x:v>https://www.dadosdemercado.com.br/acoes/baza3</x:v>
      </x:c>
      <x:c r="C4" s="21" t="str">
        <x:v>Cotação, quantidade de ações, indicadores agregados.</x:v>
      </x:c>
      <x:c r="D4" s="21" t="str">
        <x:v>Cotação base R$61,42 em 12/06/2026; há diferenças entre agregadores.</x:v>
      </x:c>
      <x:c r="E4" s="21" t="str">
        <x:v>13/06/2026</x:v>
      </x:c>
      <x:c r="F4" s="96"/>
      <x:c r="G4" s="96"/>
      <x:c r="H4" s="96"/>
      <x:c r="I4" s="96"/>
      <x:c r="J4" s="96"/>
      <x:c r="K4" s="96"/>
      <x:c r="L4" s="96"/>
      <x:c r="M4" s="96"/>
      <x:c r="N4" s="96"/>
      <x:c r="O4" s="96"/>
      <x:c r="P4" s="96"/>
      <x:c r="Q4" s="96"/>
      <x:c r="R4" s="96"/>
      <x:c r="S4" s="96"/>
      <x:c r="T4" s="96"/>
      <x:c r="U4" s="96"/>
      <x:c r="V4" s="96"/>
      <x:c r="W4" s="96"/>
      <x:c r="X4" s="96"/>
      <x:c r="Y4" s="96"/>
      <x:c r="Z4" s="96"/>
    </x:row>
    <x:row r="5">
      <x:c r="A5" s="21" t="str">
        <x:v>Dados de Mercado — Dividendos</x:v>
      </x:c>
      <x:c r="B5" s="21" t="str">
        <x:v>https://www.dadosdemercado.com.br/acoes/baza3/dividendos</x:v>
      </x:c>
      <x:c r="C5" s="21" t="str">
        <x:v>Eventos e médias de proventos.</x:v>
      </x:c>
      <x:c r="D5" s="21" t="str">
        <x:v>Eventos antigos marcados com * podem estar em bases pré-ajustes; não comparar diretamente.</x:v>
      </x:c>
      <x:c r="E5" s="21" t="str">
        <x:v>13/06/2026</x:v>
      </x:c>
      <x:c r="F5" s="96"/>
      <x:c r="G5" s="96"/>
      <x:c r="H5" s="96"/>
      <x:c r="I5" s="96"/>
      <x:c r="J5" s="96"/>
      <x:c r="K5" s="96"/>
      <x:c r="L5" s="96"/>
      <x:c r="M5" s="96"/>
      <x:c r="N5" s="96"/>
      <x:c r="O5" s="96"/>
      <x:c r="P5" s="96"/>
      <x:c r="Q5" s="96"/>
      <x:c r="R5" s="96"/>
      <x:c r="S5" s="96"/>
      <x:c r="T5" s="96"/>
      <x:c r="U5" s="96"/>
      <x:c r="V5" s="96"/>
      <x:c r="W5" s="96"/>
      <x:c r="X5" s="96"/>
      <x:c r="Y5" s="96"/>
      <x:c r="Z5" s="96"/>
    </x:row>
    <x:row r="6">
      <x:c r="A6" s="21" t="str">
        <x:v>VisnoInvest — BAZA3</x:v>
      </x:c>
      <x:c r="B6" s="21" t="str">
        <x:v>https://visnoinvest.com.br/stocks/BAZA3</x:v>
      </x:c>
      <x:c r="C6" s="21" t="str">
        <x:v>Série anual de preço, LPA, VPA, ROE, lucro, patrimônio, free float e referência Graham.</x:v>
      </x:c>
      <x:c r="D6" s="21" t="str">
        <x:v>Agregador; usar como referência, não como dado auditado.</x:v>
      </x:c>
      <x:c r="E6" s="21" t="str">
        <x:v>13/06/2026</x:v>
      </x:c>
      <x:c r="F6" s="96"/>
      <x:c r="G6" s="96"/>
      <x:c r="H6" s="96"/>
      <x:c r="I6" s="96"/>
      <x:c r="J6" s="96"/>
      <x:c r="K6" s="96"/>
      <x:c r="L6" s="96"/>
      <x:c r="M6" s="96"/>
      <x:c r="N6" s="96"/>
      <x:c r="O6" s="96"/>
      <x:c r="P6" s="96"/>
      <x:c r="Q6" s="96"/>
      <x:c r="R6" s="96"/>
      <x:c r="S6" s="96"/>
      <x:c r="T6" s="96"/>
      <x:c r="U6" s="96"/>
      <x:c r="V6" s="96"/>
      <x:c r="W6" s="96"/>
      <x:c r="X6" s="96"/>
      <x:c r="Y6" s="96"/>
      <x:c r="Z6" s="96"/>
    </x:row>
    <x:row r="7">
      <x:c r="A7" s="21" t="str">
        <x:v>Fundamentei — Eventos</x:v>
      </x:c>
      <x:c r="B7" s="21" t="str">
        <x:v>https://fundamentei.com/br/baza3/events</x:v>
      </x:c>
      <x:c r="C7" s="21" t="str">
        <x:v>Conferência de datas com/ex e pagamento dos proventos recentes.</x:v>
      </x:c>
      <x:c r="D7" s="21" t="str">
        <x:v>A planilha usa Datas de Mercado como fonte principal de valores por ação.</x:v>
      </x:c>
      <x:c r="E7" s="21" t="str">
        <x:v>13/06/2026</x:v>
      </x:c>
      <x:c r="F7" s="96"/>
      <x:c r="G7" s="96"/>
      <x:c r="H7" s="96"/>
      <x:c r="I7" s="96"/>
      <x:c r="J7" s="96"/>
      <x:c r="K7" s="96"/>
      <x:c r="L7" s="96"/>
      <x:c r="M7" s="96"/>
      <x:c r="N7" s="96"/>
      <x:c r="O7" s="96"/>
      <x:c r="P7" s="96"/>
      <x:c r="Q7" s="96"/>
      <x:c r="R7" s="96"/>
      <x:c r="S7" s="96"/>
      <x:c r="T7" s="96"/>
      <x:c r="U7" s="96"/>
      <x:c r="V7" s="96"/>
      <x:c r="W7" s="96"/>
      <x:c r="X7" s="96"/>
      <x:c r="Y7" s="96"/>
      <x:c r="Z7" s="96"/>
    </x:row>
    <x:row r="8">
      <x:c r="A8" s="21" t="str">
        <x:v>CVM/RAD — Fato relevante 2024</x:v>
      </x:c>
      <x:c r="B8" s="21" t="str">
        <x:v>https://www.rad.cvm.gov.br/ENET/frmDownloadDocumento.aspx?CodigoInstituicao=1&amp;Tela=ext&amp;descTipo=IPE&amp;numProtocolo=1212686</x:v>
      </x:c>
      <x:c r="C8" s="21" t="str">
        <x:v>Desdobramento 1:3 em 2024.</x:v>
      </x:c>
      <x:c r="D8" s="21" t="str">
        <x:v>Documento oficial de proposta/ato societário.</x:v>
      </x:c>
      <x:c r="E8" s="21" t="str">
        <x:v>13/06/2026</x:v>
      </x:c>
      <x:c r="F8" s="96"/>
      <x:c r="G8" s="96"/>
      <x:c r="H8" s="96"/>
      <x:c r="I8" s="96"/>
      <x:c r="J8" s="96"/>
      <x:c r="K8" s="96"/>
      <x:c r="L8" s="96"/>
      <x:c r="M8" s="96"/>
      <x:c r="N8" s="96"/>
      <x:c r="O8" s="96"/>
      <x:c r="P8" s="96"/>
      <x:c r="Q8" s="96"/>
      <x:c r="R8" s="96"/>
      <x:c r="S8" s="96"/>
      <x:c r="T8" s="96"/>
      <x:c r="U8" s="96"/>
      <x:c r="V8" s="96"/>
      <x:c r="W8" s="96"/>
      <x:c r="X8" s="96"/>
      <x:c r="Y8" s="96"/>
      <x:c r="Z8" s="96"/>
    </x:row>
    <x:row r="9">
      <x:c r="A9" s="21" t="str">
        <x:v>InfoMoney — Grupamento 2016</x:v>
      </x:c>
      <x:c r="B9" s="21" t="str">
        <x:v>https://www.infomoney.com.br/mercados/acao-de-banco-sofrera-grupamento-de-100-para-1-na-segunda-feira/</x:v>
      </x:c>
      <x:c r="C9" s="21" t="str">
        <x:v>Grupamento 100:1 de 2016.</x:v>
      </x:c>
      <x:c r="D9" s="21" t="str">
        <x:v>Ajuda a explicar distorções em dados por ação antigos.</x:v>
      </x:c>
      <x:c r="E9" s="21" t="str">
        <x:v>13/06/2026</x:v>
      </x:c>
      <x:c r="F9" s="96"/>
      <x:c r="G9" s="96"/>
      <x:c r="H9" s="96"/>
      <x:c r="I9" s="96"/>
      <x:c r="J9" s="96"/>
      <x:c r="K9" s="96"/>
      <x:c r="L9" s="96"/>
      <x:c r="M9" s="96"/>
      <x:c r="N9" s="96"/>
      <x:c r="O9" s="96"/>
      <x:c r="P9" s="96"/>
      <x:c r="Q9" s="96"/>
      <x:c r="R9" s="96"/>
      <x:c r="S9" s="96"/>
      <x:c r="T9" s="96"/>
      <x:c r="U9" s="96"/>
      <x:c r="V9" s="96"/>
      <x:c r="W9" s="96"/>
      <x:c r="X9" s="96"/>
      <x:c r="Y9" s="96"/>
      <x:c r="Z9" s="96"/>
    </x:row>
    <x:row r="10">
      <x:c r="A10" s="21" t="str">
        <x:v>Investing — Splits</x:v>
      </x:c>
      <x:c r="B10" s="21" t="str">
        <x:v>https://br.investing.com/equities/banco-da-amazonia-sa-on-historical-data-splits</x:v>
      </x:c>
      <x:c r="C10" s="21" t="str">
        <x:v>Histórico de proporções de splits.</x:v>
      </x:c>
      <x:c r="D10" s="21" t="str">
        <x:v>Usado como cheque adicional.</x:v>
      </x:c>
      <x:c r="E10" s="21" t="str">
        <x:v>13/06/2026</x:v>
      </x:c>
      <x:c r="F10" s="96"/>
      <x:c r="G10" s="96"/>
      <x:c r="H10" s="96"/>
      <x:c r="I10" s="96"/>
      <x:c r="J10" s="96"/>
      <x:c r="K10" s="96"/>
      <x:c r="L10" s="96"/>
      <x:c r="M10" s="96"/>
      <x:c r="N10" s="96"/>
      <x:c r="O10" s="96"/>
      <x:c r="P10" s="96"/>
      <x:c r="Q10" s="96"/>
      <x:c r="R10" s="96"/>
      <x:c r="S10" s="96"/>
      <x:c r="T10" s="96"/>
      <x:c r="U10" s="96"/>
      <x:c r="V10" s="96"/>
      <x:c r="W10" s="96"/>
      <x:c r="X10" s="96"/>
      <x:c r="Y10" s="96"/>
      <x:c r="Z10" s="96"/>
    </x:row>
    <x:row r="11">
      <x:c r="A11" s="21" t="str">
        <x:v>ADVFN/Bovespa — julho/2007</x:v>
      </x:c>
      <x:c r="B11" s="21" t="str">
        <x:v>https://br.advfn.com/forum/baza3/173365/147</x:v>
      </x:c>
      <x:c r="C11" s="21" t="str">
        <x:v>Quadro de preços e resposta da companhia à Bovespa/CVM.</x:v>
      </x:c>
      <x:c r="D11" s="21" t="str">
        <x:v>Fórum reproduz carta/ofício; comentários de usuários são anedóticos.</x:v>
      </x:c>
      <x:c r="E11" s="21" t="str">
        <x:v>13/06/2026</x:v>
      </x:c>
      <x:c r="F11" s="96"/>
      <x:c r="G11" s="96"/>
      <x:c r="H11" s="96"/>
      <x:c r="I11" s="96"/>
      <x:c r="J11" s="96"/>
      <x:c r="K11" s="96"/>
      <x:c r="L11" s="96"/>
      <x:c r="M11" s="96"/>
      <x:c r="N11" s="96"/>
      <x:c r="O11" s="96"/>
      <x:c r="P11" s="96"/>
      <x:c r="Q11" s="96"/>
      <x:c r="R11" s="96"/>
      <x:c r="S11" s="96"/>
      <x:c r="T11" s="96"/>
      <x:c r="U11" s="96"/>
      <x:c r="V11" s="96"/>
      <x:c r="W11" s="96"/>
      <x:c r="X11" s="96"/>
      <x:c r="Y11" s="96"/>
      <x:c r="Z11" s="96"/>
    </x:row>
    <x:row r="12">
      <x:c r="A12" s="21" t="str">
        <x:v>RI Banco da Amazônia</x:v>
      </x:c>
      <x:c r="B12" s="21" t="str">
        <x:v>https://ri.bancoamazonia.com.br/</x:v>
      </x:c>
      <x:c r="C12" s="21" t="str">
        <x:v>Fonte primária para consulta posterior.</x:v>
      </x:c>
      <x:c r="D12" s="21" t="str">
        <x:v>Use relatórios oficiais para atualização e decisão final.</x:v>
      </x:c>
      <x:c r="E12" s="21" t="str">
        <x:v>13/06/2026</x:v>
      </x:c>
      <x:c r="F12" s="96"/>
      <x:c r="G12" s="96"/>
      <x:c r="H12" s="96"/>
      <x:c r="I12" s="96"/>
      <x:c r="J12" s="96"/>
      <x:c r="K12" s="96"/>
      <x:c r="L12" s="96"/>
      <x:c r="M12" s="96"/>
      <x:c r="N12" s="96"/>
      <x:c r="O12" s="96"/>
      <x:c r="P12" s="96"/>
      <x:c r="Q12" s="96"/>
      <x:c r="R12" s="96"/>
      <x:c r="S12" s="96"/>
      <x:c r="T12" s="96"/>
      <x:c r="U12" s="96"/>
      <x:c r="V12" s="96"/>
      <x:c r="W12" s="96"/>
      <x:c r="X12" s="96"/>
      <x:c r="Y12" s="96"/>
      <x:c r="Z12" s="96"/>
    </x:row>
    <x:row r="13">
      <x:c r="A13" s="21"/>
      <x:c r="B13" s="21"/>
      <x:c r="C13" s="21"/>
      <x:c r="D13" s="21"/>
      <x:c r="E13" s="21"/>
      <x:c r="F13" s="96"/>
      <x:c r="G13" s="96"/>
      <x:c r="H13" s="96"/>
      <x:c r="I13" s="96"/>
      <x:c r="J13" s="96"/>
      <x:c r="K13" s="96"/>
      <x:c r="L13" s="96"/>
      <x:c r="M13" s="96"/>
      <x:c r="N13" s="96"/>
      <x:c r="O13" s="96"/>
      <x:c r="P13" s="96"/>
      <x:c r="Q13" s="96"/>
      <x:c r="R13" s="96"/>
      <x:c r="S13" s="96"/>
      <x:c r="T13" s="96"/>
      <x:c r="U13" s="96"/>
      <x:c r="V13" s="96"/>
      <x:c r="W13" s="96"/>
      <x:c r="X13" s="96"/>
      <x:c r="Y13" s="96"/>
      <x:c r="Z13" s="96"/>
    </x:row>
    <x:row r="14">
      <x:c r="A14" s="96"/>
      <x:c r="B14" s="96"/>
      <x:c r="C14" s="96"/>
      <x:c r="D14" s="96"/>
      <x:c r="E14" s="96"/>
      <x:c r="F14" s="96"/>
      <x:c r="G14" s="96"/>
      <x:c r="H14" s="96"/>
      <x:c r="I14" s="96"/>
      <x:c r="J14" s="96"/>
      <x:c r="K14" s="96"/>
      <x:c r="L14" s="96"/>
      <x:c r="M14" s="96"/>
      <x:c r="N14" s="96"/>
      <x:c r="O14" s="96"/>
      <x:c r="P14" s="96"/>
      <x:c r="Q14" s="96"/>
      <x:c r="R14" s="96"/>
      <x:c r="S14" s="96"/>
      <x:c r="T14" s="96"/>
      <x:c r="U14" s="96"/>
      <x:c r="V14" s="96"/>
      <x:c r="W14" s="96"/>
      <x:c r="X14" s="96"/>
      <x:c r="Y14" s="96"/>
      <x:c r="Z14" s="96"/>
    </x:row>
    <x:row r="15">
      <x:c r="A15" s="96"/>
      <x:c r="B15" s="96"/>
      <x:c r="C15" s="96"/>
      <x:c r="D15" s="96"/>
      <x:c r="E15" s="96"/>
      <x:c r="F15" s="96"/>
      <x:c r="G15" s="96"/>
      <x:c r="H15" s="96"/>
      <x:c r="I15" s="96"/>
      <x:c r="J15" s="96"/>
      <x:c r="K15" s="96"/>
      <x:c r="L15" s="96"/>
      <x:c r="M15" s="96"/>
      <x:c r="N15" s="96"/>
      <x:c r="O15" s="96"/>
      <x:c r="P15" s="96"/>
      <x:c r="Q15" s="96"/>
      <x:c r="R15" s="96"/>
      <x:c r="S15" s="96"/>
      <x:c r="T15" s="96"/>
      <x:c r="U15" s="96"/>
      <x:c r="V15" s="96"/>
      <x:c r="W15" s="96"/>
      <x:c r="X15" s="96"/>
      <x:c r="Y15" s="96"/>
      <x:c r="Z15" s="96"/>
    </x:row>
    <x:row r="16">
      <x:c r="A16" s="165" t="str">
        <x:v>Limitação / cuidado</x:v>
      </x:c>
      <x:c r="B16" s="165" t="str">
        <x:v>Impacto</x:v>
      </x:c>
      <x:c r="C16" s="96"/>
      <x:c r="D16" s="96"/>
      <x:c r="E16" s="96"/>
      <x:c r="F16" s="96"/>
      <x:c r="G16" s="96"/>
      <x:c r="H16" s="96"/>
      <x:c r="I16" s="96"/>
      <x:c r="J16" s="96"/>
      <x:c r="K16" s="96"/>
      <x:c r="L16" s="96"/>
      <x:c r="M16" s="96"/>
      <x:c r="N16" s="96"/>
      <x:c r="O16" s="96"/>
      <x:c r="P16" s="96"/>
      <x:c r="Q16" s="96"/>
      <x:c r="R16" s="96"/>
      <x:c r="S16" s="96"/>
      <x:c r="T16" s="96"/>
      <x:c r="U16" s="96"/>
      <x:c r="V16" s="96"/>
      <x:c r="W16" s="96"/>
      <x:c r="X16" s="96"/>
      <x:c r="Y16" s="96"/>
      <x:c r="Z16" s="96"/>
    </x:row>
    <x:row r="17">
      <x:c r="A17" s="147" t="str">
        <x:v>Não é recomendação de compra/venda.</x:v>
      </x:c>
      <x:c r="B17" s="21" t="str">
        <x:v>A planilha é um modelo de cenários e premissas, não suitability.</x:v>
      </x:c>
      <x:c r="C17" s="96"/>
      <x:c r="D17" s="96"/>
      <x:c r="E17" s="96"/>
      <x:c r="F17" s="96"/>
      <x:c r="G17" s="96"/>
      <x:c r="H17" s="96"/>
      <x:c r="I17" s="96"/>
      <x:c r="J17" s="96"/>
      <x:c r="K17" s="96"/>
      <x:c r="L17" s="96"/>
      <x:c r="M17" s="96"/>
      <x:c r="N17" s="96"/>
      <x:c r="O17" s="96"/>
      <x:c r="P17" s="96"/>
      <x:c r="Q17" s="96"/>
      <x:c r="R17" s="96"/>
      <x:c r="S17" s="96"/>
      <x:c r="T17" s="96"/>
      <x:c r="U17" s="96"/>
      <x:c r="V17" s="96"/>
      <x:c r="W17" s="96"/>
      <x:c r="X17" s="96"/>
      <x:c r="Y17" s="96"/>
      <x:c r="Z17" s="96"/>
    </x:row>
    <x:row r="18">
      <x:c r="A18" s="147" t="str">
        <x:v>Compra depois da data-ex de 10/06/2026.</x:v>
      </x:c>
      <x:c r="B18" s="21" t="str">
        <x:v>Não captura os proventos de 2026 já destacados da cotação.</x:v>
      </x:c>
      <x:c r="C18" s="96"/>
      <x:c r="D18" s="96"/>
      <x:c r="E18" s="96"/>
      <x:c r="F18" s="96"/>
      <x:c r="G18" s="96"/>
      <x:c r="H18" s="96"/>
      <x:c r="I18" s="96"/>
      <x:c r="J18" s="96"/>
      <x:c r="K18" s="96"/>
      <x:c r="L18" s="96"/>
      <x:c r="M18" s="96"/>
      <x:c r="N18" s="96"/>
      <x:c r="O18" s="96"/>
      <x:c r="P18" s="96"/>
      <x:c r="Q18" s="96"/>
      <x:c r="R18" s="96"/>
      <x:c r="S18" s="96"/>
      <x:c r="T18" s="96"/>
      <x:c r="U18" s="96"/>
      <x:c r="V18" s="96"/>
      <x:c r="W18" s="96"/>
      <x:c r="X18" s="96"/>
      <x:c r="Y18" s="96"/>
      <x:c r="Z18" s="96"/>
    </x:row>
    <x:row r="19">
      <x:c r="A19" s="147" t="str">
        <x:v>JCP tem tributação na fonte.</x:v>
      </x:c>
      <x:c r="B19" s="21" t="str">
        <x:v>Modelo mostra valores brutos/nominais; retorno líquido será menor.</x:v>
      </x:c>
      <x:c r="C19" s="96"/>
      <x:c r="D19" s="96"/>
      <x:c r="E19" s="96"/>
      <x:c r="F19" s="96"/>
      <x:c r="G19" s="96"/>
      <x:c r="H19" s="96"/>
      <x:c r="I19" s="96"/>
      <x:c r="J19" s="96"/>
      <x:c r="K19" s="96"/>
      <x:c r="L19" s="96"/>
      <x:c r="M19" s="96"/>
      <x:c r="N19" s="96"/>
      <x:c r="O19" s="96"/>
      <x:c r="P19" s="96"/>
      <x:c r="Q19" s="96"/>
      <x:c r="R19" s="96"/>
      <x:c r="S19" s="96"/>
      <x:c r="T19" s="96"/>
      <x:c r="U19" s="96"/>
      <x:c r="V19" s="96"/>
      <x:c r="W19" s="96"/>
      <x:c r="X19" s="96"/>
      <x:c r="Y19" s="96"/>
      <x:c r="Z19" s="96"/>
    </x:row>
    <x:row r="20">
      <x:c r="A20" s="147" t="str">
        <x:v>Banco público e controlador estatal.</x:v>
      </x:c>
      <x:c r="B20" s="21" t="str">
        <x:v>Pode haver interferência de política pública, capitalização, governança e estratégia de fomento.</x:v>
      </x:c>
      <x:c r="C20" s="96"/>
      <x:c r="D20" s="96"/>
      <x:c r="E20" s="96"/>
      <x:c r="F20" s="96"/>
      <x:c r="G20" s="96"/>
      <x:c r="H20" s="96"/>
      <x:c r="I20" s="96"/>
      <x:c r="J20" s="96"/>
      <x:c r="K20" s="96"/>
      <x:c r="L20" s="96"/>
      <x:c r="M20" s="96"/>
      <x:c r="N20" s="96"/>
      <x:c r="O20" s="96"/>
      <x:c r="P20" s="96"/>
      <x:c r="Q20" s="96"/>
      <x:c r="R20" s="96"/>
      <x:c r="S20" s="96"/>
      <x:c r="T20" s="96"/>
      <x:c r="U20" s="96"/>
      <x:c r="V20" s="96"/>
      <x:c r="W20" s="96"/>
      <x:c r="X20" s="96"/>
      <x:c r="Y20" s="96"/>
      <x:c r="Z20" s="96"/>
    </x:row>
    <x:row r="21">
      <x:c r="A21" s="147" t="str">
        <x:v>Free float baixo.</x:v>
      </x:c>
      <x:c r="B21" s="21" t="str">
        <x:v>Liquidez e volatilidade podem ser muito diferentes das ações de bancos grandes.</x:v>
      </x:c>
      <x:c r="C21" s="96"/>
      <x:c r="D21" s="96"/>
      <x:c r="E21" s="96"/>
      <x:c r="F21" s="96"/>
      <x:c r="G21" s="96"/>
      <x:c r="H21" s="96"/>
      <x:c r="I21" s="96"/>
      <x:c r="J21" s="96"/>
      <x:c r="K21" s="96"/>
      <x:c r="L21" s="96"/>
      <x:c r="M21" s="96"/>
      <x:c r="N21" s="96"/>
      <x:c r="O21" s="96"/>
      <x:c r="P21" s="96"/>
      <x:c r="Q21" s="96"/>
      <x:c r="R21" s="96"/>
      <x:c r="S21" s="96"/>
      <x:c r="T21" s="96"/>
      <x:c r="U21" s="96"/>
      <x:c r="V21" s="96"/>
      <x:c r="W21" s="96"/>
      <x:c r="X21" s="96"/>
      <x:c r="Y21" s="96"/>
      <x:c r="Z21" s="96"/>
    </x:row>
    <x:row r="22">
      <x:c r="A22" s="147" t="str">
        <x:v>Agregadores podem divergir.</x:v>
      </x:c>
      <x:c r="B22" s="21" t="str">
        <x:v>Use demonstrações financeiras oficiais e comunicados CVM para decisões definitivas.</x:v>
      </x:c>
      <x:c r="C22" s="96"/>
      <x:c r="D22" s="96"/>
      <x:c r="E22" s="96"/>
      <x:c r="F22" s="96"/>
      <x:c r="G22" s="96"/>
      <x:c r="H22" s="96"/>
      <x:c r="I22" s="96"/>
      <x:c r="J22" s="96"/>
      <x:c r="K22" s="96"/>
      <x:c r="L22" s="96"/>
      <x:c r="M22" s="96"/>
      <x:c r="N22" s="96"/>
      <x:c r="O22" s="96"/>
      <x:c r="P22" s="96"/>
      <x:c r="Q22" s="96"/>
      <x:c r="R22" s="96"/>
      <x:c r="S22" s="96"/>
      <x:c r="T22" s="96"/>
      <x:c r="U22" s="96"/>
      <x:c r="V22" s="96"/>
      <x:c r="W22" s="96"/>
      <x:c r="X22" s="96"/>
      <x:c r="Y22" s="96"/>
      <x:c r="Z22" s="96"/>
    </x:row>
    <x:row r="23">
      <x:c r="A23" s="96"/>
      <x:c r="B23" s="96"/>
      <x:c r="C23" s="96"/>
      <x:c r="D23" s="96"/>
      <x:c r="E23" s="96"/>
      <x:c r="F23" s="96"/>
      <x:c r="G23" s="96"/>
      <x:c r="H23" s="96"/>
      <x:c r="I23" s="96"/>
      <x:c r="J23" s="96"/>
      <x:c r="K23" s="96"/>
      <x:c r="L23" s="96"/>
      <x:c r="M23" s="96"/>
      <x:c r="N23" s="96"/>
      <x:c r="O23" s="96"/>
      <x:c r="P23" s="96"/>
      <x:c r="Q23" s="96"/>
      <x:c r="R23" s="96"/>
      <x:c r="S23" s="96"/>
      <x:c r="T23" s="96"/>
      <x:c r="U23" s="96"/>
      <x:c r="V23" s="96"/>
      <x:c r="W23" s="96"/>
      <x:c r="X23" s="96"/>
      <x:c r="Y23" s="96"/>
      <x:c r="Z23" s="96"/>
    </x:row>
    <x:row r="24">
      <x:c r="A24" s="96"/>
      <x:c r="B24" s="96"/>
      <x:c r="C24" s="96"/>
      <x:c r="D24" s="96"/>
      <x:c r="E24" s="96"/>
      <x:c r="F24" s="96"/>
      <x:c r="G24" s="96"/>
      <x:c r="H24" s="96"/>
      <x:c r="I24" s="96"/>
      <x:c r="J24" s="96"/>
      <x:c r="K24" s="96"/>
      <x:c r="L24" s="96"/>
      <x:c r="M24" s="96"/>
      <x:c r="N24" s="96"/>
      <x:c r="O24" s="96"/>
      <x:c r="P24" s="96"/>
      <x:c r="Q24" s="96"/>
      <x:c r="R24" s="96"/>
      <x:c r="S24" s="96"/>
      <x:c r="T24" s="96"/>
      <x:c r="U24" s="96"/>
      <x:c r="V24" s="96"/>
      <x:c r="W24" s="96"/>
      <x:c r="X24" s="96"/>
      <x:c r="Y24" s="96"/>
      <x:c r="Z24" s="96"/>
    </x:row>
    <x:row r="25">
      <x:c r="A25" s="96"/>
      <x:c r="B25" s="96"/>
      <x:c r="C25" s="96"/>
      <x:c r="D25" s="96"/>
      <x:c r="E25" s="96"/>
      <x:c r="F25" s="96"/>
      <x:c r="G25" s="96"/>
      <x:c r="H25" s="96"/>
      <x:c r="I25" s="96"/>
      <x:c r="J25" s="96"/>
      <x:c r="K25" s="96"/>
      <x:c r="L25" s="96"/>
      <x:c r="M25" s="96"/>
      <x:c r="N25" s="96"/>
      <x:c r="O25" s="96"/>
      <x:c r="P25" s="96"/>
      <x:c r="Q25" s="96"/>
      <x:c r="R25" s="96"/>
      <x:c r="S25" s="96"/>
      <x:c r="T25" s="96"/>
      <x:c r="U25" s="96"/>
      <x:c r="V25" s="96"/>
      <x:c r="W25" s="96"/>
      <x:c r="X25" s="96"/>
      <x:c r="Y25" s="96"/>
      <x:c r="Z25" s="96"/>
    </x:row>
    <x:row r="26">
      <x:c r="A26" s="96"/>
      <x:c r="B26" s="96"/>
      <x:c r="C26" s="96"/>
      <x:c r="D26" s="96"/>
      <x:c r="E26" s="96"/>
      <x:c r="F26" s="96"/>
      <x:c r="G26" s="96"/>
      <x:c r="H26" s="96"/>
      <x:c r="I26" s="96"/>
      <x:c r="J26" s="96"/>
      <x:c r="K26" s="96"/>
      <x:c r="L26" s="96"/>
      <x:c r="M26" s="96"/>
      <x:c r="N26" s="96"/>
      <x:c r="O26" s="96"/>
      <x:c r="P26" s="96"/>
      <x:c r="Q26" s="96"/>
      <x:c r="R26" s="96"/>
      <x:c r="S26" s="96"/>
      <x:c r="T26" s="96"/>
      <x:c r="U26" s="96"/>
      <x:c r="V26" s="96"/>
      <x:c r="W26" s="96"/>
      <x:c r="X26" s="96"/>
      <x:c r="Y26" s="96"/>
      <x:c r="Z26" s="96"/>
    </x:row>
    <x:row r="27">
      <x:c r="A27" s="96"/>
      <x:c r="B27" s="96"/>
      <x:c r="C27" s="96"/>
      <x:c r="D27" s="96"/>
      <x:c r="E27" s="96"/>
      <x:c r="F27" s="96"/>
      <x:c r="G27" s="96"/>
      <x:c r="H27" s="96"/>
      <x:c r="I27" s="96"/>
      <x:c r="J27" s="96"/>
      <x:c r="K27" s="96"/>
      <x:c r="L27" s="96"/>
      <x:c r="M27" s="96"/>
      <x:c r="N27" s="96"/>
      <x:c r="O27" s="96"/>
      <x:c r="P27" s="96"/>
      <x:c r="Q27" s="96"/>
      <x:c r="R27" s="96"/>
      <x:c r="S27" s="96"/>
      <x:c r="T27" s="96"/>
      <x:c r="U27" s="96"/>
      <x:c r="V27" s="96"/>
      <x:c r="W27" s="96"/>
      <x:c r="X27" s="96"/>
      <x:c r="Y27" s="96"/>
      <x:c r="Z27" s="96"/>
    </x:row>
    <x:row r="28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N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</x:row>
    <x:row r="29">
      <x:c r="A29" s="96"/>
      <x:c r="B29" s="9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N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</x:row>
    <x:row r="30">
      <x:c r="A30" s="96"/>
      <x:c r="B30" s="9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N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</x:row>
    <x:row r="31">
      <x:c r="A31" s="96"/>
      <x:c r="B31" s="96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N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</x:row>
    <x:row r="32">
      <x:c r="A32" s="96"/>
      <x:c r="B32" s="96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N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</x:row>
    <x:row r="33">
      <x:c r="A33" s="96"/>
      <x:c r="B33" s="96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N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</x:row>
    <x:row r="34">
      <x:c r="A34" s="96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N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</x:row>
    <x:row r="35">
      <x:c r="A35" s="96"/>
      <x:c r="B35" s="96"/>
      <x:c r="C35" s="96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N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</x:row>
    <x:row r="36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N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</x:row>
    <x:row r="37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N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</x:row>
    <x:row r="38">
      <x:c r="A38" s="96"/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  <x:c r="M38" s="96"/>
      <x:c r="N38" s="96"/>
      <x:c r="O38" s="96"/>
      <x:c r="P38" s="96"/>
      <x:c r="Q38" s="96"/>
      <x:c r="R38" s="96"/>
      <x:c r="S38" s="96"/>
      <x:c r="T38" s="96"/>
      <x:c r="U38" s="96"/>
      <x:c r="V38" s="96"/>
      <x:c r="W38" s="96"/>
      <x:c r="X38" s="96"/>
      <x:c r="Y38" s="96"/>
      <x:c r="Z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  <x:c r="M39" s="96"/>
      <x:c r="N39" s="96"/>
      <x:c r="O39" s="96"/>
      <x:c r="P39" s="96"/>
      <x:c r="Q39" s="96"/>
      <x:c r="R39" s="96"/>
      <x:c r="S39" s="96"/>
      <x:c r="T39" s="96"/>
      <x:c r="U39" s="96"/>
      <x:c r="V39" s="96"/>
      <x:c r="W39" s="96"/>
      <x:c r="X39" s="96"/>
      <x:c r="Y39" s="96"/>
      <x:c r="Z39" s="96"/>
    </x:row>
    <x:row r="40">
      <x:c r="A40" s="96"/>
      <x:c r="B40" s="96"/>
      <x:c r="C40" s="96"/>
      <x:c r="D40" s="96"/>
      <x:c r="E40" s="96"/>
      <x:c r="F40" s="96"/>
      <x:c r="G40" s="96"/>
      <x:c r="H40" s="96"/>
      <x:c r="I40" s="96"/>
      <x:c r="J40" s="96"/>
      <x:c r="K40" s="96"/>
      <x:c r="L40" s="96"/>
      <x:c r="M40" s="96"/>
      <x:c r="N40" s="96"/>
      <x:c r="O40" s="96"/>
      <x:c r="P40" s="96"/>
      <x:c r="Q40" s="96"/>
      <x:c r="R40" s="96"/>
      <x:c r="S40" s="96"/>
      <x:c r="T40" s="96"/>
      <x:c r="U40" s="96"/>
      <x:c r="V40" s="96"/>
      <x:c r="W40" s="96"/>
      <x:c r="X40" s="96"/>
      <x:c r="Y40" s="96"/>
      <x:c r="Z40" s="96"/>
    </x:row>
    <x:row r="41">
      <x:c r="A41" s="96"/>
      <x:c r="B41" s="96"/>
      <x:c r="C41" s="96"/>
      <x:c r="D41" s="96"/>
      <x:c r="E41" s="96"/>
      <x:c r="F41" s="96"/>
      <x:c r="G41" s="96"/>
      <x:c r="H41" s="96"/>
      <x:c r="I41" s="96"/>
      <x:c r="J41" s="96"/>
      <x:c r="K41" s="96"/>
      <x:c r="L41" s="96"/>
      <x:c r="M41" s="96"/>
      <x:c r="N41" s="96"/>
      <x:c r="O41" s="96"/>
      <x:c r="P41" s="96"/>
      <x:c r="Q41" s="96"/>
      <x:c r="R41" s="96"/>
      <x:c r="S41" s="96"/>
      <x:c r="T41" s="96"/>
      <x:c r="U41" s="96"/>
      <x:c r="V41" s="96"/>
      <x:c r="W41" s="96"/>
      <x:c r="X41" s="96"/>
      <x:c r="Y41" s="96"/>
      <x:c r="Z41" s="96"/>
    </x:row>
    <x:row r="42">
      <x:c r="A42" s="96"/>
      <x:c r="B42" s="96"/>
      <x:c r="C42" s="96"/>
      <x:c r="D42" s="96"/>
      <x:c r="E42" s="96"/>
      <x:c r="F42" s="96"/>
      <x:c r="G42" s="96"/>
      <x:c r="H42" s="96"/>
      <x:c r="I42" s="96"/>
      <x:c r="J42" s="96"/>
      <x:c r="K42" s="96"/>
      <x:c r="L42" s="96"/>
      <x:c r="M42" s="96"/>
      <x:c r="N42" s="96"/>
      <x:c r="O42" s="96"/>
      <x:c r="P42" s="96"/>
      <x:c r="Q42" s="96"/>
      <x:c r="R42" s="96"/>
      <x:c r="S42" s="96"/>
      <x:c r="T42" s="96"/>
      <x:c r="U42" s="96"/>
      <x:c r="V42" s="96"/>
      <x:c r="W42" s="96"/>
      <x:c r="X42" s="96"/>
      <x:c r="Y42" s="96"/>
      <x:c r="Z42" s="96"/>
    </x:row>
    <x:row r="43">
      <x:c r="A43" s="96"/>
      <x:c r="B43" s="96"/>
      <x:c r="C43" s="96"/>
      <x:c r="D43" s="96"/>
      <x:c r="E43" s="96"/>
      <x:c r="F43" s="96"/>
      <x:c r="G43" s="96"/>
      <x:c r="H43" s="96"/>
      <x:c r="I43" s="96"/>
      <x:c r="J43" s="96"/>
      <x:c r="K43" s="96"/>
      <x:c r="L43" s="96"/>
      <x:c r="M43" s="96"/>
      <x:c r="N43" s="96"/>
      <x:c r="O43" s="96"/>
      <x:c r="P43" s="96"/>
      <x:c r="Q43" s="96"/>
      <x:c r="R43" s="96"/>
      <x:c r="S43" s="96"/>
      <x:c r="T43" s="96"/>
      <x:c r="U43" s="96"/>
      <x:c r="V43" s="96"/>
      <x:c r="W43" s="96"/>
      <x:c r="X43" s="96"/>
      <x:c r="Y43" s="96"/>
      <x:c r="Z43" s="96"/>
    </x:row>
    <x:row r="44">
      <x:c r="A44" s="96"/>
      <x:c r="B44" s="96"/>
      <x:c r="C44" s="96"/>
      <x:c r="D44" s="96"/>
      <x:c r="E44" s="96"/>
      <x:c r="F44" s="96"/>
      <x:c r="G44" s="96"/>
      <x:c r="H44" s="96"/>
      <x:c r="I44" s="96"/>
      <x:c r="J44" s="96"/>
      <x:c r="K44" s="96"/>
      <x:c r="L44" s="96"/>
      <x:c r="M44" s="96"/>
      <x:c r="N44" s="96"/>
      <x:c r="O44" s="96"/>
      <x:c r="P44" s="96"/>
      <x:c r="Q44" s="96"/>
      <x:c r="R44" s="96"/>
      <x:c r="S44" s="96"/>
      <x:c r="T44" s="96"/>
      <x:c r="U44" s="96"/>
      <x:c r="V44" s="96"/>
      <x:c r="W44" s="96"/>
      <x:c r="X44" s="96"/>
      <x:c r="Y44" s="96"/>
      <x:c r="Z44" s="96"/>
    </x:row>
    <x:row r="45">
      <x:c r="A45" s="96"/>
      <x:c r="B45" s="96"/>
      <x:c r="C45" s="96"/>
      <x:c r="D45" s="96"/>
      <x:c r="E45" s="96"/>
      <x:c r="F45" s="96"/>
      <x:c r="G45" s="96"/>
      <x:c r="H45" s="96"/>
      <x:c r="I45" s="96"/>
      <x:c r="J45" s="96"/>
      <x:c r="K45" s="96"/>
      <x:c r="L45" s="96"/>
      <x:c r="M45" s="96"/>
      <x:c r="N45" s="96"/>
      <x:c r="O45" s="96"/>
      <x:c r="P45" s="96"/>
      <x:c r="Q45" s="96"/>
      <x:c r="R45" s="96"/>
      <x:c r="S45" s="96"/>
      <x:c r="T45" s="96"/>
      <x:c r="U45" s="96"/>
      <x:c r="V45" s="96"/>
      <x:c r="W45" s="96"/>
      <x:c r="X45" s="96"/>
      <x:c r="Y45" s="96"/>
      <x:c r="Z45" s="96"/>
    </x:row>
    <x:row r="46">
      <x:c r="A46" s="96"/>
      <x:c r="B46" s="96"/>
      <x:c r="C46" s="96"/>
      <x:c r="D46" s="96"/>
      <x:c r="E46" s="96"/>
      <x:c r="F46" s="96"/>
      <x:c r="G46" s="96"/>
      <x:c r="H46" s="96"/>
      <x:c r="I46" s="96"/>
      <x:c r="J46" s="96"/>
      <x:c r="K46" s="96"/>
      <x:c r="L46" s="96"/>
      <x:c r="M46" s="96"/>
      <x:c r="N46" s="96"/>
      <x:c r="O46" s="96"/>
      <x:c r="P46" s="96"/>
      <x:c r="Q46" s="96"/>
      <x:c r="R46" s="96"/>
      <x:c r="S46" s="96"/>
      <x:c r="T46" s="96"/>
      <x:c r="U46" s="96"/>
      <x:c r="V46" s="96"/>
      <x:c r="W46" s="96"/>
      <x:c r="X46" s="96"/>
      <x:c r="Y46" s="96"/>
      <x:c r="Z46" s="96"/>
    </x:row>
    <x:row r="47">
      <x:c r="A47" s="96"/>
      <x:c r="B47" s="96"/>
      <x:c r="C47" s="96"/>
      <x:c r="D47" s="96"/>
      <x:c r="E47" s="96"/>
      <x:c r="F47" s="96"/>
      <x:c r="G47" s="96"/>
      <x:c r="H47" s="96"/>
      <x:c r="I47" s="96"/>
      <x:c r="J47" s="96"/>
      <x:c r="K47" s="96"/>
      <x:c r="L47" s="96"/>
      <x:c r="M47" s="96"/>
      <x:c r="N47" s="96"/>
      <x:c r="O47" s="96"/>
      <x:c r="P47" s="96"/>
      <x:c r="Q47" s="96"/>
      <x:c r="R47" s="96"/>
      <x:c r="S47" s="96"/>
      <x:c r="T47" s="96"/>
      <x:c r="U47" s="96"/>
      <x:c r="V47" s="96"/>
      <x:c r="W47" s="96"/>
      <x:c r="X47" s="96"/>
      <x:c r="Y47" s="96"/>
      <x:c r="Z47" s="96"/>
    </x:row>
    <x:row r="48">
      <x:c r="A48" s="96"/>
      <x:c r="B48" s="96"/>
      <x:c r="C48" s="96"/>
      <x:c r="D48" s="96"/>
      <x:c r="E48" s="96"/>
      <x:c r="F48" s="96"/>
      <x:c r="G48" s="96"/>
      <x:c r="H48" s="96"/>
      <x:c r="I48" s="96"/>
      <x:c r="J48" s="96"/>
      <x:c r="K48" s="96"/>
      <x:c r="L48" s="96"/>
      <x:c r="M48" s="96"/>
      <x:c r="N48" s="96"/>
      <x:c r="O48" s="96"/>
      <x:c r="P48" s="96"/>
      <x:c r="Q48" s="96"/>
      <x:c r="R48" s="96"/>
      <x:c r="S48" s="96"/>
      <x:c r="T48" s="96"/>
      <x:c r="U48" s="96"/>
      <x:c r="V48" s="96"/>
      <x:c r="W48" s="96"/>
      <x:c r="X48" s="96"/>
      <x:c r="Y48" s="96"/>
      <x:c r="Z48" s="96"/>
    </x:row>
    <x:row r="49">
      <x:c r="A49" s="96"/>
      <x:c r="B49" s="96"/>
      <x:c r="C49" s="96"/>
      <x:c r="D49" s="96"/>
      <x:c r="E49" s="96"/>
      <x:c r="F49" s="96"/>
      <x:c r="G49" s="96"/>
      <x:c r="H49" s="96"/>
      <x:c r="I49" s="96"/>
      <x:c r="J49" s="96"/>
      <x:c r="K49" s="96"/>
      <x:c r="L49" s="96"/>
      <x:c r="M49" s="96"/>
      <x:c r="N49" s="96"/>
      <x:c r="O49" s="96"/>
      <x:c r="P49" s="96"/>
      <x:c r="Q49" s="96"/>
      <x:c r="R49" s="96"/>
      <x:c r="S49" s="96"/>
      <x:c r="T49" s="96"/>
      <x:c r="U49" s="96"/>
      <x:c r="V49" s="96"/>
      <x:c r="W49" s="96"/>
      <x:c r="X49" s="96"/>
      <x:c r="Y49" s="96"/>
      <x:c r="Z49" s="96"/>
    </x:row>
    <x:row r="50">
      <x:c r="A50" s="96"/>
      <x:c r="B50" s="96"/>
      <x:c r="C50" s="96"/>
      <x:c r="D50" s="96"/>
      <x:c r="E50" s="96"/>
      <x:c r="F50" s="96"/>
      <x:c r="G50" s="96"/>
      <x:c r="H50" s="96"/>
      <x:c r="I50" s="96"/>
      <x:c r="J50" s="96"/>
      <x:c r="K50" s="96"/>
      <x:c r="L50" s="96"/>
      <x:c r="M50" s="96"/>
      <x:c r="N50" s="96"/>
      <x:c r="O50" s="96"/>
      <x:c r="P50" s="96"/>
      <x:c r="Q50" s="96"/>
      <x:c r="R50" s="96"/>
      <x:c r="S50" s="96"/>
      <x:c r="T50" s="96"/>
      <x:c r="U50" s="96"/>
      <x:c r="V50" s="96"/>
      <x:c r="W50" s="96"/>
      <x:c r="X50" s="96"/>
      <x:c r="Y50" s="96"/>
      <x:c r="Z50" s="96"/>
    </x:row>
    <x:row r="51">
      <x:c r="A51" s="96"/>
      <x:c r="B51" s="96"/>
      <x:c r="C51" s="96"/>
      <x:c r="D51" s="96"/>
      <x:c r="E51" s="96"/>
      <x:c r="F51" s="96"/>
      <x:c r="G51" s="96"/>
      <x:c r="H51" s="96"/>
      <x:c r="I51" s="96"/>
      <x:c r="J51" s="96"/>
      <x:c r="K51" s="96"/>
      <x:c r="L51" s="96"/>
      <x:c r="M51" s="96"/>
      <x:c r="N51" s="96"/>
      <x:c r="O51" s="96"/>
      <x:c r="P51" s="96"/>
      <x:c r="Q51" s="96"/>
      <x:c r="R51" s="96"/>
      <x:c r="S51" s="96"/>
      <x:c r="T51" s="96"/>
      <x:c r="U51" s="96"/>
      <x:c r="V51" s="96"/>
      <x:c r="W51" s="96"/>
      <x:c r="X51" s="96"/>
      <x:c r="Y51" s="96"/>
      <x:c r="Z51" s="96"/>
    </x:row>
    <x:row r="52">
      <x:c r="A52" s="96"/>
      <x:c r="B52" s="96"/>
      <x:c r="C52" s="96"/>
      <x:c r="D52" s="96"/>
      <x:c r="E52" s="96"/>
      <x:c r="F52" s="96"/>
      <x:c r="G52" s="96"/>
      <x:c r="H52" s="96"/>
      <x:c r="I52" s="96"/>
      <x:c r="J52" s="96"/>
      <x:c r="K52" s="96"/>
      <x:c r="L52" s="96"/>
      <x:c r="M52" s="96"/>
      <x:c r="N52" s="96"/>
      <x:c r="O52" s="96"/>
      <x:c r="P52" s="96"/>
      <x:c r="Q52" s="96"/>
      <x:c r="R52" s="96"/>
      <x:c r="S52" s="96"/>
      <x:c r="T52" s="96"/>
      <x:c r="U52" s="96"/>
      <x:c r="V52" s="96"/>
      <x:c r="W52" s="96"/>
      <x:c r="X52" s="96"/>
      <x:c r="Y52" s="96"/>
      <x:c r="Z52" s="96"/>
    </x:row>
    <x:row r="53">
      <x:c r="A53" s="96"/>
      <x:c r="B53" s="96"/>
      <x:c r="C53" s="96"/>
      <x:c r="D53" s="96"/>
      <x:c r="E53" s="96"/>
      <x:c r="F53" s="96"/>
      <x:c r="G53" s="96"/>
      <x:c r="H53" s="96"/>
      <x:c r="I53" s="96"/>
      <x:c r="J53" s="96"/>
      <x:c r="K53" s="96"/>
      <x:c r="L53" s="96"/>
      <x:c r="M53" s="96"/>
      <x:c r="N53" s="96"/>
      <x:c r="O53" s="96"/>
      <x:c r="P53" s="96"/>
      <x:c r="Q53" s="96"/>
      <x:c r="R53" s="96"/>
      <x:c r="S53" s="96"/>
      <x:c r="T53" s="96"/>
      <x:c r="U53" s="96"/>
      <x:c r="V53" s="96"/>
      <x:c r="W53" s="96"/>
      <x:c r="X53" s="96"/>
      <x:c r="Y53" s="96"/>
      <x:c r="Z53" s="96"/>
    </x:row>
    <x:row r="54">
      <x:c r="A54" s="96"/>
      <x:c r="B54" s="96"/>
      <x:c r="C54" s="96"/>
      <x:c r="D54" s="96"/>
      <x:c r="E54" s="96"/>
      <x:c r="F54" s="96"/>
      <x:c r="G54" s="96"/>
      <x:c r="H54" s="96"/>
      <x:c r="I54" s="96"/>
      <x:c r="J54" s="96"/>
      <x:c r="K54" s="96"/>
      <x:c r="L54" s="96"/>
      <x:c r="M54" s="96"/>
      <x:c r="N54" s="96"/>
      <x:c r="O54" s="96"/>
      <x:c r="P54" s="96"/>
      <x:c r="Q54" s="96"/>
      <x:c r="R54" s="96"/>
      <x:c r="S54" s="96"/>
      <x:c r="T54" s="96"/>
      <x:c r="U54" s="96"/>
      <x:c r="V54" s="96"/>
      <x:c r="W54" s="96"/>
      <x:c r="X54" s="96"/>
      <x:c r="Y54" s="96"/>
      <x:c r="Z54" s="96"/>
    </x:row>
    <x:row r="55">
      <x:c r="A55" s="96"/>
      <x:c r="B55" s="96"/>
      <x:c r="C55" s="96"/>
      <x:c r="D55" s="96"/>
      <x:c r="E55" s="96"/>
      <x:c r="F55" s="96"/>
      <x:c r="G55" s="96"/>
      <x:c r="H55" s="96"/>
      <x:c r="I55" s="96"/>
      <x:c r="J55" s="96"/>
      <x:c r="K55" s="96"/>
      <x:c r="L55" s="96"/>
      <x:c r="M55" s="96"/>
      <x:c r="N55" s="96"/>
      <x:c r="O55" s="96"/>
      <x:c r="P55" s="96"/>
      <x:c r="Q55" s="96"/>
      <x:c r="R55" s="96"/>
      <x:c r="S55" s="96"/>
      <x:c r="T55" s="96"/>
      <x:c r="U55" s="96"/>
      <x:c r="V55" s="96"/>
      <x:c r="W55" s="96"/>
      <x:c r="X55" s="96"/>
      <x:c r="Y55" s="96"/>
      <x:c r="Z55" s="96"/>
    </x:row>
    <x:row r="56">
      <x:c r="A56" s="96"/>
      <x:c r="B56" s="96"/>
      <x:c r="C56" s="96"/>
      <x:c r="D56" s="96"/>
      <x:c r="E56" s="96"/>
      <x:c r="F56" s="96"/>
      <x:c r="G56" s="96"/>
      <x:c r="H56" s="96"/>
      <x:c r="I56" s="96"/>
      <x:c r="J56" s="96"/>
      <x:c r="K56" s="96"/>
      <x:c r="L56" s="96"/>
      <x:c r="M56" s="96"/>
      <x:c r="N56" s="96"/>
      <x:c r="O56" s="96"/>
      <x:c r="P56" s="96"/>
      <x:c r="Q56" s="96"/>
      <x:c r="R56" s="96"/>
      <x:c r="S56" s="96"/>
      <x:c r="T56" s="96"/>
      <x:c r="U56" s="96"/>
      <x:c r="V56" s="96"/>
      <x:c r="W56" s="96"/>
      <x:c r="X56" s="96"/>
      <x:c r="Y56" s="96"/>
      <x:c r="Z56" s="96"/>
    </x:row>
    <x:row r="57">
      <x:c r="A57" s="96"/>
      <x:c r="B57" s="96"/>
      <x:c r="C57" s="96"/>
      <x:c r="D57" s="96"/>
      <x:c r="E57" s="96"/>
      <x:c r="F57" s="96"/>
      <x:c r="G57" s="96"/>
      <x:c r="H57" s="96"/>
      <x:c r="I57" s="96"/>
      <x:c r="J57" s="96"/>
      <x:c r="K57" s="96"/>
      <x:c r="L57" s="96"/>
      <x:c r="M57" s="96"/>
      <x:c r="N57" s="96"/>
      <x:c r="O57" s="96"/>
      <x:c r="P57" s="96"/>
      <x:c r="Q57" s="96"/>
      <x:c r="R57" s="96"/>
      <x:c r="S57" s="96"/>
      <x:c r="T57" s="96"/>
      <x:c r="U57" s="96"/>
      <x:c r="V57" s="96"/>
      <x:c r="W57" s="96"/>
      <x:c r="X57" s="96"/>
      <x:c r="Y57" s="96"/>
      <x:c r="Z57" s="96"/>
    </x:row>
    <x:row r="58">
      <x:c r="A58" s="96"/>
      <x:c r="B58" s="96"/>
      <x:c r="C58" s="96"/>
      <x:c r="D58" s="96"/>
      <x:c r="E58" s="96"/>
      <x:c r="F58" s="96"/>
      <x:c r="G58" s="96"/>
      <x:c r="H58" s="96"/>
      <x:c r="I58" s="96"/>
      <x:c r="J58" s="96"/>
      <x:c r="K58" s="96"/>
      <x:c r="L58" s="96"/>
      <x:c r="M58" s="96"/>
      <x:c r="N58" s="96"/>
      <x:c r="O58" s="96"/>
      <x:c r="P58" s="96"/>
      <x:c r="Q58" s="96"/>
      <x:c r="R58" s="96"/>
      <x:c r="S58" s="96"/>
      <x:c r="T58" s="96"/>
      <x:c r="U58" s="96"/>
      <x:c r="V58" s="96"/>
      <x:c r="W58" s="96"/>
      <x:c r="X58" s="96"/>
      <x:c r="Y58" s="96"/>
      <x:c r="Z58" s="96"/>
    </x:row>
    <x:row r="59">
      <x:c r="A59" s="96"/>
      <x:c r="B59" s="96"/>
      <x:c r="C59" s="96"/>
      <x:c r="D59" s="96"/>
      <x:c r="E59" s="96"/>
      <x:c r="F59" s="96"/>
      <x:c r="G59" s="96"/>
      <x:c r="H59" s="96"/>
      <x:c r="I59" s="96"/>
      <x:c r="J59" s="96"/>
      <x:c r="K59" s="96"/>
      <x:c r="L59" s="96"/>
      <x:c r="M59" s="96"/>
      <x:c r="N59" s="96"/>
      <x:c r="O59" s="96"/>
      <x:c r="P59" s="96"/>
      <x:c r="Q59" s="96"/>
      <x:c r="R59" s="96"/>
      <x:c r="S59" s="96"/>
      <x:c r="T59" s="96"/>
      <x:c r="U59" s="96"/>
      <x:c r="V59" s="96"/>
      <x:c r="W59" s="96"/>
      <x:c r="X59" s="96"/>
      <x:c r="Y59" s="96"/>
      <x:c r="Z59" s="96"/>
    </x:row>
    <x:row r="60">
      <x:c r="A60" s="96"/>
      <x:c r="B60" s="96"/>
      <x:c r="C60" s="96"/>
      <x:c r="D60" s="96"/>
      <x:c r="E60" s="96"/>
      <x:c r="F60" s="96"/>
      <x:c r="G60" s="96"/>
      <x:c r="H60" s="96"/>
      <x:c r="I60" s="96"/>
      <x:c r="J60" s="96"/>
      <x:c r="K60" s="96"/>
      <x:c r="L60" s="96"/>
      <x:c r="M60" s="96"/>
      <x:c r="N60" s="96"/>
      <x:c r="O60" s="96"/>
      <x:c r="P60" s="96"/>
      <x:c r="Q60" s="96"/>
      <x:c r="R60" s="96"/>
      <x:c r="S60" s="96"/>
      <x:c r="T60" s="96"/>
      <x:c r="U60" s="96"/>
      <x:c r="V60" s="96"/>
      <x:c r="W60" s="96"/>
      <x:c r="X60" s="96"/>
      <x:c r="Y60" s="96"/>
      <x:c r="Z60" s="96"/>
    </x:row>
    <x:row r="61">
      <x:c r="A61" s="96"/>
      <x:c r="B61" s="96"/>
      <x:c r="C61" s="96"/>
      <x:c r="D61" s="96"/>
      <x:c r="E61" s="96"/>
      <x:c r="F61" s="96"/>
      <x:c r="G61" s="96"/>
      <x:c r="H61" s="96"/>
      <x:c r="I61" s="96"/>
      <x:c r="J61" s="96"/>
      <x:c r="K61" s="96"/>
      <x:c r="L61" s="96"/>
      <x:c r="M61" s="96"/>
      <x:c r="N61" s="96"/>
      <x:c r="O61" s="96"/>
      <x:c r="P61" s="96"/>
      <x:c r="Q61" s="96"/>
      <x:c r="R61" s="96"/>
      <x:c r="S61" s="96"/>
      <x:c r="T61" s="96"/>
      <x:c r="U61" s="96"/>
      <x:c r="V61" s="96"/>
      <x:c r="W61" s="96"/>
      <x:c r="X61" s="96"/>
      <x:c r="Y61" s="96"/>
      <x:c r="Z61" s="96"/>
    </x:row>
    <x:row r="62">
      <x:c r="A62" s="96"/>
      <x:c r="B62" s="96"/>
      <x:c r="C62" s="96"/>
      <x:c r="D62" s="96"/>
      <x:c r="E62" s="96"/>
      <x:c r="F62" s="96"/>
      <x:c r="G62" s="96"/>
      <x:c r="H62" s="96"/>
      <x:c r="I62" s="96"/>
      <x:c r="J62" s="96"/>
      <x:c r="K62" s="96"/>
      <x:c r="L62" s="96"/>
      <x:c r="M62" s="96"/>
      <x:c r="N62" s="96"/>
      <x:c r="O62" s="96"/>
      <x:c r="P62" s="96"/>
      <x:c r="Q62" s="96"/>
      <x:c r="R62" s="96"/>
      <x:c r="S62" s="96"/>
      <x:c r="T62" s="96"/>
      <x:c r="U62" s="96"/>
      <x:c r="V62" s="96"/>
      <x:c r="W62" s="96"/>
      <x:c r="X62" s="96"/>
      <x:c r="Y62" s="96"/>
      <x:c r="Z62" s="96"/>
    </x:row>
    <x:row r="63">
      <x:c r="A63" s="96"/>
      <x:c r="B63" s="96"/>
      <x:c r="C63" s="96"/>
      <x:c r="D63" s="96"/>
      <x:c r="E63" s="96"/>
      <x:c r="F63" s="96"/>
      <x:c r="G63" s="96"/>
      <x:c r="H63" s="96"/>
      <x:c r="I63" s="96"/>
      <x:c r="J63" s="96"/>
      <x:c r="K63" s="96"/>
      <x:c r="L63" s="96"/>
      <x:c r="M63" s="96"/>
      <x:c r="N63" s="96"/>
      <x:c r="O63" s="96"/>
      <x:c r="P63" s="96"/>
      <x:c r="Q63" s="96"/>
      <x:c r="R63" s="96"/>
      <x:c r="S63" s="96"/>
      <x:c r="T63" s="96"/>
      <x:c r="U63" s="96"/>
      <x:c r="V63" s="96"/>
      <x:c r="W63" s="96"/>
      <x:c r="X63" s="96"/>
      <x:c r="Y63" s="96"/>
      <x:c r="Z63" s="96"/>
    </x:row>
    <x:row r="64">
      <x:c r="A64" s="96"/>
      <x:c r="B64" s="96"/>
      <x:c r="C64" s="96"/>
      <x:c r="D64" s="96"/>
      <x:c r="E64" s="96"/>
      <x:c r="F64" s="96"/>
      <x:c r="G64" s="96"/>
      <x:c r="H64" s="96"/>
      <x:c r="I64" s="96"/>
      <x:c r="J64" s="96"/>
      <x:c r="K64" s="96"/>
      <x:c r="L64" s="96"/>
      <x:c r="M64" s="96"/>
      <x:c r="N64" s="96"/>
      <x:c r="O64" s="96"/>
      <x:c r="P64" s="96"/>
      <x:c r="Q64" s="96"/>
      <x:c r="R64" s="96"/>
      <x:c r="S64" s="96"/>
      <x:c r="T64" s="96"/>
      <x:c r="U64" s="96"/>
      <x:c r="V64" s="96"/>
      <x:c r="W64" s="96"/>
      <x:c r="X64" s="96"/>
      <x:c r="Y64" s="96"/>
      <x:c r="Z64" s="96"/>
    </x:row>
    <x:row r="65">
      <x:c r="A65" s="96"/>
      <x:c r="B65" s="96"/>
      <x:c r="C65" s="96"/>
      <x:c r="D65" s="96"/>
      <x:c r="E65" s="96"/>
      <x:c r="F65" s="96"/>
      <x:c r="G65" s="96"/>
      <x:c r="H65" s="96"/>
      <x:c r="I65" s="96"/>
      <x:c r="J65" s="96"/>
      <x:c r="K65" s="96"/>
      <x:c r="L65" s="96"/>
      <x:c r="M65" s="96"/>
      <x:c r="N65" s="96"/>
      <x:c r="O65" s="96"/>
      <x:c r="P65" s="96"/>
      <x:c r="Q65" s="96"/>
      <x:c r="R65" s="96"/>
      <x:c r="S65" s="96"/>
      <x:c r="T65" s="96"/>
      <x:c r="U65" s="96"/>
      <x:c r="V65" s="96"/>
      <x:c r="W65" s="96"/>
      <x:c r="X65" s="96"/>
      <x:c r="Y65" s="96"/>
      <x:c r="Z65" s="96"/>
    </x:row>
    <x:row r="66">
      <x:c r="A66" s="96"/>
      <x:c r="B66" s="96"/>
      <x:c r="C66" s="96"/>
      <x:c r="D66" s="96"/>
      <x:c r="E66" s="96"/>
      <x:c r="F66" s="96"/>
      <x:c r="G66" s="96"/>
      <x:c r="H66" s="96"/>
      <x:c r="I66" s="96"/>
      <x:c r="J66" s="96"/>
      <x:c r="K66" s="96"/>
      <x:c r="L66" s="96"/>
      <x:c r="M66" s="96"/>
      <x:c r="N66" s="96"/>
      <x:c r="O66" s="96"/>
      <x:c r="P66" s="96"/>
      <x:c r="Q66" s="96"/>
      <x:c r="R66" s="96"/>
      <x:c r="S66" s="96"/>
      <x:c r="T66" s="96"/>
      <x:c r="U66" s="96"/>
      <x:c r="V66" s="96"/>
      <x:c r="W66" s="96"/>
      <x:c r="X66" s="96"/>
      <x:c r="Y66" s="96"/>
      <x:c r="Z66" s="96"/>
    </x:row>
    <x:row r="67">
      <x:c r="A67" s="96"/>
      <x:c r="B67" s="96"/>
      <x:c r="C67" s="96"/>
      <x:c r="D67" s="96"/>
      <x:c r="E67" s="96"/>
      <x:c r="F67" s="96"/>
      <x:c r="G67" s="96"/>
      <x:c r="H67" s="96"/>
      <x:c r="I67" s="96"/>
      <x:c r="J67" s="96"/>
      <x:c r="K67" s="96"/>
      <x:c r="L67" s="96"/>
      <x:c r="M67" s="96"/>
      <x:c r="N67" s="96"/>
      <x:c r="O67" s="96"/>
      <x:c r="P67" s="96"/>
      <x:c r="Q67" s="96"/>
      <x:c r="R67" s="96"/>
      <x:c r="S67" s="96"/>
      <x:c r="T67" s="96"/>
      <x:c r="U67" s="96"/>
      <x:c r="V67" s="96"/>
      <x:c r="W67" s="96"/>
      <x:c r="X67" s="96"/>
      <x:c r="Y67" s="96"/>
      <x:c r="Z67" s="96"/>
    </x:row>
    <x:row r="68">
      <x:c r="A68" s="96"/>
      <x:c r="B68" s="96"/>
      <x:c r="C68" s="96"/>
      <x:c r="D68" s="96"/>
      <x:c r="E68" s="96"/>
      <x:c r="F68" s="96"/>
      <x:c r="G68" s="96"/>
      <x:c r="H68" s="96"/>
      <x:c r="I68" s="96"/>
      <x:c r="J68" s="96"/>
      <x:c r="K68" s="96"/>
      <x:c r="L68" s="96"/>
      <x:c r="M68" s="96"/>
      <x:c r="N68" s="96"/>
      <x:c r="O68" s="96"/>
      <x:c r="P68" s="96"/>
      <x:c r="Q68" s="96"/>
      <x:c r="R68" s="96"/>
      <x:c r="S68" s="96"/>
      <x:c r="T68" s="96"/>
      <x:c r="U68" s="96"/>
      <x:c r="V68" s="96"/>
      <x:c r="W68" s="96"/>
      <x:c r="X68" s="96"/>
      <x:c r="Y68" s="96"/>
      <x:c r="Z68" s="96"/>
    </x:row>
    <x:row r="69">
      <x:c r="A69" s="96"/>
      <x:c r="B69" s="96"/>
      <x:c r="C69" s="96"/>
      <x:c r="D69" s="96"/>
      <x:c r="E69" s="96"/>
      <x:c r="F69" s="96"/>
      <x:c r="G69" s="96"/>
      <x:c r="H69" s="96"/>
      <x:c r="I69" s="96"/>
      <x:c r="J69" s="96"/>
      <x:c r="K69" s="96"/>
      <x:c r="L69" s="96"/>
      <x:c r="M69" s="96"/>
      <x:c r="N69" s="96"/>
      <x:c r="O69" s="96"/>
      <x:c r="P69" s="96"/>
      <x:c r="Q69" s="96"/>
      <x:c r="R69" s="96"/>
      <x:c r="S69" s="96"/>
      <x:c r="T69" s="96"/>
      <x:c r="U69" s="96"/>
      <x:c r="V69" s="96"/>
      <x:c r="W69" s="96"/>
      <x:c r="X69" s="96"/>
      <x:c r="Y69" s="96"/>
      <x:c r="Z69" s="96"/>
    </x:row>
    <x:row r="70">
      <x:c r="A70" s="96"/>
      <x:c r="B70" s="96"/>
      <x:c r="C70" s="96"/>
      <x:c r="D70" s="96"/>
      <x:c r="E70" s="96"/>
      <x:c r="F70" s="96"/>
      <x:c r="G70" s="96"/>
      <x:c r="H70" s="96"/>
      <x:c r="I70" s="96"/>
      <x:c r="J70" s="96"/>
      <x:c r="K70" s="96"/>
      <x:c r="L70" s="96"/>
      <x:c r="M70" s="96"/>
      <x:c r="N70" s="96"/>
      <x:c r="O70" s="96"/>
      <x:c r="P70" s="96"/>
      <x:c r="Q70" s="96"/>
      <x:c r="R70" s="96"/>
      <x:c r="S70" s="96"/>
      <x:c r="T70" s="96"/>
      <x:c r="U70" s="96"/>
      <x:c r="V70" s="96"/>
      <x:c r="W70" s="96"/>
      <x:c r="X70" s="96"/>
      <x:c r="Y70" s="96"/>
      <x:c r="Z70" s="96"/>
    </x:row>
    <x:row r="71">
      <x:c r="A71" s="96"/>
      <x:c r="B71" s="96"/>
      <x:c r="C71" s="96"/>
      <x:c r="D71" s="96"/>
      <x:c r="E71" s="96"/>
      <x:c r="F71" s="96"/>
      <x:c r="G71" s="96"/>
      <x:c r="H71" s="96"/>
      <x:c r="I71" s="96"/>
      <x:c r="J71" s="96"/>
      <x:c r="K71" s="96"/>
      <x:c r="L71" s="96"/>
      <x:c r="M71" s="96"/>
      <x:c r="N71" s="96"/>
      <x:c r="O71" s="96"/>
      <x:c r="P71" s="96"/>
      <x:c r="Q71" s="96"/>
      <x:c r="R71" s="96"/>
      <x:c r="S71" s="96"/>
      <x:c r="T71" s="96"/>
      <x:c r="U71" s="96"/>
      <x:c r="V71" s="96"/>
      <x:c r="W71" s="96"/>
      <x:c r="X71" s="96"/>
      <x:c r="Y71" s="96"/>
      <x:c r="Z71" s="96"/>
    </x:row>
    <x:row r="72">
      <x:c r="A72" s="96"/>
      <x:c r="B72" s="96"/>
      <x:c r="C72" s="96"/>
      <x:c r="D72" s="96"/>
      <x:c r="E72" s="96"/>
      <x:c r="F72" s="96"/>
      <x:c r="G72" s="96"/>
      <x:c r="H72" s="96"/>
      <x:c r="I72" s="96"/>
      <x:c r="J72" s="96"/>
      <x:c r="K72" s="96"/>
      <x:c r="L72" s="96"/>
      <x:c r="M72" s="96"/>
      <x:c r="N72" s="96"/>
      <x:c r="O72" s="96"/>
      <x:c r="P72" s="96"/>
      <x:c r="Q72" s="96"/>
      <x:c r="R72" s="96"/>
      <x:c r="S72" s="96"/>
      <x:c r="T72" s="96"/>
      <x:c r="U72" s="96"/>
      <x:c r="V72" s="96"/>
      <x:c r="W72" s="96"/>
      <x:c r="X72" s="96"/>
      <x:c r="Y72" s="96"/>
      <x:c r="Z72" s="96"/>
    </x:row>
    <x:row r="73">
      <x:c r="A73" s="96"/>
      <x:c r="B73" s="96"/>
      <x:c r="C73" s="96"/>
      <x:c r="D73" s="96"/>
      <x:c r="E73" s="96"/>
      <x:c r="F73" s="96"/>
      <x:c r="G73" s="96"/>
      <x:c r="H73" s="96"/>
      <x:c r="I73" s="96"/>
      <x:c r="J73" s="96"/>
      <x:c r="K73" s="96"/>
      <x:c r="L73" s="96"/>
      <x:c r="M73" s="96"/>
      <x:c r="N73" s="96"/>
      <x:c r="O73" s="96"/>
      <x:c r="P73" s="96"/>
      <x:c r="Q73" s="96"/>
      <x:c r="R73" s="96"/>
      <x:c r="S73" s="96"/>
      <x:c r="T73" s="96"/>
      <x:c r="U73" s="96"/>
      <x:c r="V73" s="96"/>
      <x:c r="W73" s="96"/>
      <x:c r="X73" s="96"/>
      <x:c r="Y73" s="96"/>
      <x:c r="Z73" s="96"/>
    </x:row>
    <x:row r="74">
      <x:c r="A74" s="96"/>
      <x:c r="B74" s="96"/>
      <x:c r="C74" s="96"/>
      <x:c r="D74" s="96"/>
      <x:c r="E74" s="96"/>
      <x:c r="F74" s="96"/>
      <x:c r="G74" s="96"/>
      <x:c r="H74" s="96"/>
      <x:c r="I74" s="96"/>
      <x:c r="J74" s="96"/>
      <x:c r="K74" s="96"/>
      <x:c r="L74" s="96"/>
      <x:c r="M74" s="96"/>
      <x:c r="N74" s="96"/>
      <x:c r="O74" s="96"/>
      <x:c r="P74" s="96"/>
      <x:c r="Q74" s="96"/>
      <x:c r="R74" s="96"/>
      <x:c r="S74" s="96"/>
      <x:c r="T74" s="96"/>
      <x:c r="U74" s="96"/>
      <x:c r="V74" s="96"/>
      <x:c r="W74" s="96"/>
      <x:c r="X74" s="96"/>
      <x:c r="Y74" s="96"/>
      <x:c r="Z74" s="96"/>
    </x:row>
    <x:row r="75">
      <x:c r="A75" s="96"/>
      <x:c r="B75" s="96"/>
      <x:c r="C75" s="96"/>
      <x:c r="D75" s="96"/>
      <x:c r="E75" s="96"/>
      <x:c r="F75" s="96"/>
      <x:c r="G75" s="96"/>
      <x:c r="H75" s="96"/>
      <x:c r="I75" s="96"/>
      <x:c r="J75" s="96"/>
      <x:c r="K75" s="96"/>
      <x:c r="L75" s="96"/>
      <x:c r="M75" s="96"/>
      <x:c r="N75" s="96"/>
      <x:c r="O75" s="96"/>
      <x:c r="P75" s="96"/>
      <x:c r="Q75" s="96"/>
      <x:c r="R75" s="96"/>
      <x:c r="S75" s="96"/>
      <x:c r="T75" s="96"/>
      <x:c r="U75" s="96"/>
      <x:c r="V75" s="96"/>
      <x:c r="W75" s="96"/>
      <x:c r="X75" s="96"/>
      <x:c r="Y75" s="96"/>
      <x:c r="Z75" s="96"/>
    </x:row>
    <x:row r="76">
      <x:c r="A76" s="96"/>
      <x:c r="B76" s="96"/>
      <x:c r="C76" s="96"/>
      <x:c r="D76" s="96"/>
      <x:c r="E76" s="96"/>
      <x:c r="F76" s="96"/>
      <x:c r="G76" s="96"/>
      <x:c r="H76" s="96"/>
      <x:c r="I76" s="96"/>
      <x:c r="J76" s="96"/>
      <x:c r="K76" s="96"/>
      <x:c r="L76" s="96"/>
      <x:c r="M76" s="96"/>
      <x:c r="N76" s="96"/>
      <x:c r="O76" s="96"/>
      <x:c r="P76" s="96"/>
      <x:c r="Q76" s="96"/>
      <x:c r="R76" s="96"/>
      <x:c r="S76" s="96"/>
      <x:c r="T76" s="96"/>
      <x:c r="U76" s="96"/>
      <x:c r="V76" s="96"/>
      <x:c r="W76" s="96"/>
      <x:c r="X76" s="96"/>
      <x:c r="Y76" s="96"/>
      <x:c r="Z76" s="96"/>
    </x:row>
    <x:row r="77">
      <x:c r="A77" s="96"/>
      <x:c r="B77" s="96"/>
      <x:c r="C77" s="96"/>
      <x:c r="D77" s="96"/>
      <x:c r="E77" s="96"/>
      <x:c r="F77" s="96"/>
      <x:c r="G77" s="96"/>
      <x:c r="H77" s="96"/>
      <x:c r="I77" s="96"/>
      <x:c r="J77" s="96"/>
      <x:c r="K77" s="96"/>
      <x:c r="L77" s="96"/>
      <x:c r="M77" s="96"/>
      <x:c r="N77" s="96"/>
      <x:c r="O77" s="96"/>
      <x:c r="P77" s="96"/>
      <x:c r="Q77" s="96"/>
      <x:c r="R77" s="96"/>
      <x:c r="S77" s="96"/>
      <x:c r="T77" s="96"/>
      <x:c r="U77" s="96"/>
      <x:c r="V77" s="96"/>
      <x:c r="W77" s="96"/>
      <x:c r="X77" s="96"/>
      <x:c r="Y77" s="96"/>
      <x:c r="Z77" s="96"/>
    </x:row>
    <x:row r="78">
      <x:c r="A78" s="96"/>
      <x:c r="B78" s="96"/>
      <x:c r="C78" s="96"/>
      <x:c r="D78" s="96"/>
      <x:c r="E78" s="96"/>
      <x:c r="F78" s="96"/>
      <x:c r="G78" s="96"/>
      <x:c r="H78" s="96"/>
      <x:c r="I78" s="96"/>
      <x:c r="J78" s="96"/>
      <x:c r="K78" s="96"/>
      <x:c r="L78" s="96"/>
      <x:c r="M78" s="96"/>
      <x:c r="N78" s="96"/>
      <x:c r="O78" s="96"/>
      <x:c r="P78" s="96"/>
      <x:c r="Q78" s="96"/>
      <x:c r="R78" s="96"/>
      <x:c r="S78" s="96"/>
      <x:c r="T78" s="96"/>
      <x:c r="U78" s="96"/>
      <x:c r="V78" s="96"/>
      <x:c r="W78" s="96"/>
      <x:c r="X78" s="96"/>
      <x:c r="Y78" s="96"/>
      <x:c r="Z78" s="96"/>
    </x:row>
    <x:row r="79">
      <x:c r="A79" s="96"/>
      <x:c r="B79" s="96"/>
      <x:c r="C79" s="96"/>
      <x:c r="D79" s="96"/>
      <x:c r="E79" s="96"/>
      <x:c r="F79" s="96"/>
      <x:c r="G79" s="96"/>
      <x:c r="H79" s="96"/>
      <x:c r="I79" s="96"/>
      <x:c r="J79" s="96"/>
      <x:c r="K79" s="96"/>
      <x:c r="L79" s="96"/>
      <x:c r="M79" s="96"/>
      <x:c r="N79" s="96"/>
      <x:c r="O79" s="96"/>
      <x:c r="P79" s="96"/>
      <x:c r="Q79" s="96"/>
      <x:c r="R79" s="96"/>
      <x:c r="S79" s="96"/>
      <x:c r="T79" s="96"/>
      <x:c r="U79" s="96"/>
      <x:c r="V79" s="96"/>
      <x:c r="W79" s="96"/>
      <x:c r="X79" s="96"/>
      <x:c r="Y79" s="96"/>
      <x:c r="Z79" s="96"/>
    </x:row>
    <x:row r="80">
      <x:c r="A80" s="96"/>
      <x:c r="B80" s="96"/>
      <x:c r="C80" s="96"/>
      <x:c r="D80" s="96"/>
      <x:c r="E80" s="96"/>
      <x:c r="F80" s="96"/>
      <x:c r="G80" s="96"/>
      <x:c r="H80" s="96"/>
      <x:c r="I80" s="96"/>
      <x:c r="J80" s="96"/>
      <x:c r="K80" s="96"/>
      <x:c r="L80" s="96"/>
      <x:c r="M80" s="96"/>
      <x:c r="N80" s="96"/>
      <x:c r="O80" s="96"/>
      <x:c r="P80" s="96"/>
      <x:c r="Q80" s="96"/>
      <x:c r="R80" s="96"/>
      <x:c r="S80" s="96"/>
      <x:c r="T80" s="96"/>
      <x:c r="U80" s="96"/>
      <x:c r="V80" s="96"/>
      <x:c r="W80" s="96"/>
      <x:c r="X80" s="96"/>
      <x:c r="Y80" s="96"/>
      <x:c r="Z80" s="96"/>
    </x:row>
    <x:row r="81">
      <x:c r="A81" s="96"/>
      <x:c r="B81" s="96"/>
      <x:c r="C81" s="96"/>
      <x:c r="D81" s="96"/>
      <x:c r="E81" s="96"/>
      <x:c r="F81" s="96"/>
      <x:c r="G81" s="96"/>
      <x:c r="H81" s="96"/>
      <x:c r="I81" s="96"/>
      <x:c r="J81" s="96"/>
      <x:c r="K81" s="96"/>
      <x:c r="L81" s="96"/>
      <x:c r="M81" s="96"/>
      <x:c r="N81" s="96"/>
      <x:c r="O81" s="96"/>
      <x:c r="P81" s="96"/>
      <x:c r="Q81" s="96"/>
      <x:c r="R81" s="96"/>
      <x:c r="S81" s="96"/>
      <x:c r="T81" s="96"/>
      <x:c r="U81" s="96"/>
      <x:c r="V81" s="96"/>
      <x:c r="W81" s="96"/>
      <x:c r="X81" s="96"/>
      <x:c r="Y81" s="96"/>
      <x:c r="Z81" s="96"/>
    </x:row>
    <x:row r="82">
      <x:c r="A82" s="96"/>
      <x:c r="B82" s="96"/>
      <x:c r="C82" s="96"/>
      <x:c r="D82" s="96"/>
      <x:c r="E82" s="96"/>
      <x:c r="F82" s="96"/>
      <x:c r="G82" s="96"/>
      <x:c r="H82" s="96"/>
      <x:c r="I82" s="96"/>
      <x:c r="J82" s="96"/>
      <x:c r="K82" s="96"/>
      <x:c r="L82" s="96"/>
      <x:c r="M82" s="96"/>
      <x:c r="N82" s="96"/>
      <x:c r="O82" s="96"/>
      <x:c r="P82" s="96"/>
      <x:c r="Q82" s="96"/>
      <x:c r="R82" s="96"/>
      <x:c r="S82" s="96"/>
      <x:c r="T82" s="96"/>
      <x:c r="U82" s="96"/>
      <x:c r="V82" s="96"/>
      <x:c r="W82" s="96"/>
      <x:c r="X82" s="96"/>
      <x:c r="Y82" s="96"/>
      <x:c r="Z82" s="96"/>
    </x:row>
    <x:row r="83">
      <x:c r="A83" s="96"/>
      <x:c r="B83" s="96"/>
      <x:c r="C83" s="96"/>
      <x:c r="D83" s="96"/>
      <x:c r="E83" s="96"/>
      <x:c r="F83" s="96"/>
      <x:c r="G83" s="96"/>
      <x:c r="H83" s="96"/>
      <x:c r="I83" s="96"/>
      <x:c r="J83" s="96"/>
      <x:c r="K83" s="96"/>
      <x:c r="L83" s="96"/>
      <x:c r="M83" s="96"/>
      <x:c r="N83" s="96"/>
      <x:c r="O83" s="96"/>
      <x:c r="P83" s="96"/>
      <x:c r="Q83" s="96"/>
      <x:c r="R83" s="96"/>
      <x:c r="S83" s="96"/>
      <x:c r="T83" s="96"/>
      <x:c r="U83" s="96"/>
      <x:c r="V83" s="96"/>
      <x:c r="W83" s="96"/>
      <x:c r="X83" s="96"/>
      <x:c r="Y83" s="96"/>
      <x:c r="Z83" s="96"/>
    </x:row>
    <x:row r="84">
      <x:c r="A84" s="96"/>
      <x:c r="B84" s="96"/>
      <x:c r="C84" s="96"/>
      <x:c r="D84" s="96"/>
      <x:c r="E84" s="96"/>
      <x:c r="F84" s="96"/>
      <x:c r="G84" s="96"/>
      <x:c r="H84" s="96"/>
      <x:c r="I84" s="96"/>
      <x:c r="J84" s="96"/>
      <x:c r="K84" s="96"/>
      <x:c r="L84" s="96"/>
      <x:c r="M84" s="96"/>
      <x:c r="N84" s="96"/>
      <x:c r="O84" s="96"/>
      <x:c r="P84" s="96"/>
      <x:c r="Q84" s="96"/>
      <x:c r="R84" s="96"/>
      <x:c r="S84" s="96"/>
      <x:c r="T84" s="96"/>
      <x:c r="U84" s="96"/>
      <x:c r="V84" s="96"/>
      <x:c r="W84" s="96"/>
      <x:c r="X84" s="96"/>
      <x:c r="Y84" s="96"/>
      <x:c r="Z84" s="96"/>
    </x:row>
    <x:row r="85">
      <x:c r="A85" s="96"/>
      <x:c r="B85" s="96"/>
      <x:c r="C85" s="96"/>
      <x:c r="D85" s="96"/>
      <x:c r="E85" s="96"/>
      <x:c r="F85" s="96"/>
      <x:c r="G85" s="96"/>
      <x:c r="H85" s="96"/>
      <x:c r="I85" s="96"/>
      <x:c r="J85" s="96"/>
      <x:c r="K85" s="96"/>
      <x:c r="L85" s="96"/>
      <x:c r="M85" s="96"/>
      <x:c r="N85" s="96"/>
      <x:c r="O85" s="96"/>
      <x:c r="P85" s="96"/>
      <x:c r="Q85" s="96"/>
      <x:c r="R85" s="96"/>
      <x:c r="S85" s="96"/>
      <x:c r="T85" s="96"/>
      <x:c r="U85" s="96"/>
      <x:c r="V85" s="96"/>
      <x:c r="W85" s="96"/>
      <x:c r="X85" s="96"/>
      <x:c r="Y85" s="96"/>
      <x:c r="Z85" s="96"/>
    </x:row>
    <x:row r="86">
      <x:c r="A86" s="96"/>
      <x:c r="B86" s="96"/>
      <x:c r="C86" s="96"/>
      <x:c r="D86" s="96"/>
      <x:c r="E86" s="96"/>
      <x:c r="F86" s="96"/>
      <x:c r="G86" s="96"/>
      <x:c r="H86" s="96"/>
      <x:c r="I86" s="96"/>
      <x:c r="J86" s="96"/>
      <x:c r="K86" s="96"/>
      <x:c r="L86" s="96"/>
      <x:c r="M86" s="96"/>
      <x:c r="N86" s="96"/>
      <x:c r="O86" s="96"/>
      <x:c r="P86" s="96"/>
      <x:c r="Q86" s="96"/>
      <x:c r="R86" s="96"/>
      <x:c r="S86" s="96"/>
      <x:c r="T86" s="96"/>
      <x:c r="U86" s="96"/>
      <x:c r="V86" s="96"/>
      <x:c r="W86" s="96"/>
      <x:c r="X86" s="96"/>
      <x:c r="Y86" s="96"/>
      <x:c r="Z86" s="96"/>
    </x:row>
    <x:row r="87">
      <x:c r="A87" s="96"/>
      <x:c r="B87" s="96"/>
      <x:c r="C87" s="96"/>
      <x:c r="D87" s="96"/>
      <x:c r="E87" s="96"/>
      <x:c r="F87" s="96"/>
      <x:c r="G87" s="96"/>
      <x:c r="H87" s="96"/>
      <x:c r="I87" s="96"/>
      <x:c r="J87" s="96"/>
      <x:c r="K87" s="96"/>
      <x:c r="L87" s="96"/>
      <x:c r="M87" s="96"/>
      <x:c r="N87" s="96"/>
      <x:c r="O87" s="96"/>
      <x:c r="P87" s="96"/>
      <x:c r="Q87" s="96"/>
      <x:c r="R87" s="96"/>
      <x:c r="S87" s="96"/>
      <x:c r="T87" s="96"/>
      <x:c r="U87" s="96"/>
      <x:c r="V87" s="96"/>
      <x:c r="W87" s="96"/>
      <x:c r="X87" s="96"/>
      <x:c r="Y87" s="96"/>
      <x:c r="Z87" s="96"/>
    </x:row>
    <x:row r="88">
      <x:c r="A88" s="96"/>
      <x:c r="B88" s="96"/>
      <x:c r="C88" s="96"/>
      <x:c r="D88" s="96"/>
      <x:c r="E88" s="96"/>
      <x:c r="F88" s="96"/>
      <x:c r="G88" s="96"/>
      <x:c r="H88" s="96"/>
      <x:c r="I88" s="96"/>
      <x:c r="J88" s="96"/>
      <x:c r="K88" s="96"/>
      <x:c r="L88" s="96"/>
      <x:c r="M88" s="96"/>
      <x:c r="N88" s="96"/>
      <x:c r="O88" s="96"/>
      <x:c r="P88" s="96"/>
      <x:c r="Q88" s="96"/>
      <x:c r="R88" s="96"/>
      <x:c r="S88" s="96"/>
      <x:c r="T88" s="96"/>
      <x:c r="U88" s="96"/>
      <x:c r="V88" s="96"/>
      <x:c r="W88" s="96"/>
      <x:c r="X88" s="96"/>
      <x:c r="Y88" s="96"/>
      <x:c r="Z88" s="96"/>
    </x:row>
    <x:row r="89">
      <x:c r="A89" s="96"/>
      <x:c r="B89" s="96"/>
      <x:c r="C89" s="96"/>
      <x:c r="D89" s="96"/>
      <x:c r="E89" s="96"/>
      <x:c r="F89" s="96"/>
      <x:c r="G89" s="96"/>
      <x:c r="H89" s="96"/>
      <x:c r="I89" s="96"/>
      <x:c r="J89" s="96"/>
      <x:c r="K89" s="96"/>
      <x:c r="L89" s="96"/>
      <x:c r="M89" s="96"/>
      <x:c r="N89" s="96"/>
      <x:c r="O89" s="96"/>
      <x:c r="P89" s="96"/>
      <x:c r="Q89" s="96"/>
      <x:c r="R89" s="96"/>
      <x:c r="S89" s="96"/>
      <x:c r="T89" s="96"/>
      <x:c r="U89" s="96"/>
      <x:c r="V89" s="96"/>
      <x:c r="W89" s="96"/>
      <x:c r="X89" s="96"/>
      <x:c r="Y89" s="96"/>
      <x:c r="Z89" s="96"/>
    </x:row>
    <x:row r="90">
      <x:c r="A90" s="96"/>
      <x:c r="B90" s="96"/>
      <x:c r="C90" s="96"/>
      <x:c r="D90" s="96"/>
      <x:c r="E90" s="96"/>
      <x:c r="F90" s="96"/>
      <x:c r="G90" s="96"/>
      <x:c r="H90" s="96"/>
      <x:c r="I90" s="96"/>
      <x:c r="J90" s="96"/>
      <x:c r="K90" s="96"/>
      <x:c r="L90" s="96"/>
      <x:c r="M90" s="96"/>
      <x:c r="N90" s="96"/>
      <x:c r="O90" s="96"/>
      <x:c r="P90" s="96"/>
      <x:c r="Q90" s="96"/>
      <x:c r="R90" s="96"/>
      <x:c r="S90" s="96"/>
      <x:c r="T90" s="96"/>
      <x:c r="U90" s="96"/>
      <x:c r="V90" s="96"/>
      <x:c r="W90" s="96"/>
      <x:c r="X90" s="96"/>
      <x:c r="Y90" s="96"/>
      <x:c r="Z90" s="96"/>
    </x:row>
    <x:row r="91">
      <x:c r="A91" s="96"/>
      <x:c r="B91" s="96"/>
      <x:c r="C91" s="96"/>
      <x:c r="D91" s="96"/>
      <x:c r="E91" s="96"/>
      <x:c r="F91" s="96"/>
      <x:c r="G91" s="96"/>
      <x:c r="H91" s="96"/>
      <x:c r="I91" s="96"/>
      <x:c r="J91" s="96"/>
      <x:c r="K91" s="96"/>
      <x:c r="L91" s="96"/>
      <x:c r="M91" s="96"/>
      <x:c r="N91" s="96"/>
      <x:c r="O91" s="96"/>
      <x:c r="P91" s="96"/>
      <x:c r="Q91" s="96"/>
      <x:c r="R91" s="96"/>
      <x:c r="S91" s="96"/>
      <x:c r="T91" s="96"/>
      <x:c r="U91" s="96"/>
      <x:c r="V91" s="96"/>
      <x:c r="W91" s="96"/>
      <x:c r="X91" s="96"/>
      <x:c r="Y91" s="96"/>
      <x:c r="Z91" s="96"/>
    </x:row>
    <x:row r="92">
      <x:c r="A92" s="96"/>
      <x:c r="B92" s="96"/>
      <x:c r="C92" s="96"/>
      <x:c r="D92" s="96"/>
      <x:c r="E92" s="96"/>
      <x:c r="F92" s="96"/>
      <x:c r="G92" s="96"/>
      <x:c r="H92" s="96"/>
      <x:c r="I92" s="96"/>
      <x:c r="J92" s="96"/>
      <x:c r="K92" s="96"/>
      <x:c r="L92" s="96"/>
      <x:c r="M92" s="96"/>
      <x:c r="N92" s="96"/>
      <x:c r="O92" s="96"/>
      <x:c r="P92" s="96"/>
      <x:c r="Q92" s="96"/>
      <x:c r="R92" s="96"/>
      <x:c r="S92" s="96"/>
      <x:c r="T92" s="96"/>
      <x:c r="U92" s="96"/>
      <x:c r="V92" s="96"/>
      <x:c r="W92" s="96"/>
      <x:c r="X92" s="96"/>
      <x:c r="Y92" s="96"/>
      <x:c r="Z92" s="96"/>
    </x:row>
    <x:row r="93">
      <x:c r="A93" s="96"/>
      <x:c r="B93" s="96"/>
      <x:c r="C93" s="96"/>
      <x:c r="D93" s="96"/>
      <x:c r="E93" s="96"/>
      <x:c r="F93" s="96"/>
      <x:c r="G93" s="96"/>
      <x:c r="H93" s="96"/>
      <x:c r="I93" s="96"/>
      <x:c r="J93" s="96"/>
      <x:c r="K93" s="96"/>
      <x:c r="L93" s="96"/>
      <x:c r="M93" s="96"/>
      <x:c r="N93" s="96"/>
      <x:c r="O93" s="96"/>
      <x:c r="P93" s="96"/>
      <x:c r="Q93" s="96"/>
      <x:c r="R93" s="96"/>
      <x:c r="S93" s="96"/>
      <x:c r="T93" s="96"/>
      <x:c r="U93" s="96"/>
      <x:c r="V93" s="96"/>
      <x:c r="W93" s="96"/>
      <x:c r="X93" s="96"/>
      <x:c r="Y93" s="96"/>
      <x:c r="Z93" s="96"/>
    </x:row>
    <x:row r="94">
      <x:c r="A94" s="96"/>
      <x:c r="B94" s="96"/>
      <x:c r="C94" s="96"/>
      <x:c r="D94" s="96"/>
      <x:c r="E94" s="96"/>
      <x:c r="F94" s="96"/>
      <x:c r="G94" s="96"/>
      <x:c r="H94" s="96"/>
      <x:c r="I94" s="96"/>
      <x:c r="J94" s="96"/>
      <x:c r="K94" s="96"/>
      <x:c r="L94" s="96"/>
      <x:c r="M94" s="96"/>
      <x:c r="N94" s="96"/>
      <x:c r="O94" s="96"/>
      <x:c r="P94" s="96"/>
      <x:c r="Q94" s="96"/>
      <x:c r="R94" s="96"/>
      <x:c r="S94" s="96"/>
      <x:c r="T94" s="96"/>
      <x:c r="U94" s="96"/>
      <x:c r="V94" s="96"/>
      <x:c r="W94" s="96"/>
      <x:c r="X94" s="96"/>
      <x:c r="Y94" s="96"/>
      <x:c r="Z94" s="96"/>
    </x:row>
    <x:row r="95">
      <x:c r="A95" s="96"/>
      <x:c r="B95" s="96"/>
      <x:c r="C95" s="96"/>
      <x:c r="D95" s="96"/>
      <x:c r="E95" s="96"/>
      <x:c r="F95" s="96"/>
      <x:c r="G95" s="96"/>
      <x:c r="H95" s="96"/>
      <x:c r="I95" s="96"/>
      <x:c r="J95" s="96"/>
      <x:c r="K95" s="96"/>
      <x:c r="L95" s="96"/>
      <x:c r="M95" s="96"/>
      <x:c r="N95" s="96"/>
      <x:c r="O95" s="96"/>
      <x:c r="P95" s="96"/>
      <x:c r="Q95" s="96"/>
      <x:c r="R95" s="96"/>
      <x:c r="S95" s="96"/>
      <x:c r="T95" s="96"/>
      <x:c r="U95" s="96"/>
      <x:c r="V95" s="96"/>
      <x:c r="W95" s="96"/>
      <x:c r="X95" s="96"/>
      <x:c r="Y95" s="96"/>
      <x:c r="Z95" s="96"/>
    </x:row>
    <x:row r="96">
      <x:c r="A96" s="96"/>
      <x:c r="B96" s="96"/>
      <x:c r="C96" s="96"/>
      <x:c r="D96" s="96"/>
      <x:c r="E96" s="96"/>
      <x:c r="F96" s="96"/>
      <x:c r="G96" s="96"/>
      <x:c r="H96" s="96"/>
      <x:c r="I96" s="96"/>
      <x:c r="J96" s="96"/>
      <x:c r="K96" s="96"/>
      <x:c r="L96" s="96"/>
      <x:c r="M96" s="96"/>
      <x:c r="N96" s="96"/>
      <x:c r="O96" s="96"/>
      <x:c r="P96" s="96"/>
      <x:c r="Q96" s="96"/>
      <x:c r="R96" s="96"/>
      <x:c r="S96" s="96"/>
      <x:c r="T96" s="96"/>
      <x:c r="U96" s="96"/>
      <x:c r="V96" s="96"/>
      <x:c r="W96" s="96"/>
      <x:c r="X96" s="96"/>
      <x:c r="Y96" s="96"/>
      <x:c r="Z96" s="96"/>
    </x:row>
    <x:row r="97">
      <x:c r="A97" s="96"/>
      <x:c r="B97" s="96"/>
      <x:c r="C97" s="96"/>
      <x:c r="D97" s="96"/>
      <x:c r="E97" s="96"/>
      <x:c r="F97" s="96"/>
      <x:c r="G97" s="96"/>
      <x:c r="H97" s="96"/>
      <x:c r="I97" s="96"/>
      <x:c r="J97" s="96"/>
      <x:c r="K97" s="96"/>
      <x:c r="L97" s="96"/>
      <x:c r="M97" s="96"/>
      <x:c r="N97" s="96"/>
      <x:c r="O97" s="96"/>
      <x:c r="P97" s="96"/>
      <x:c r="Q97" s="96"/>
      <x:c r="R97" s="96"/>
      <x:c r="S97" s="96"/>
      <x:c r="T97" s="96"/>
      <x:c r="U97" s="96"/>
      <x:c r="V97" s="96"/>
      <x:c r="W97" s="96"/>
      <x:c r="X97" s="96"/>
      <x:c r="Y97" s="96"/>
      <x:c r="Z97" s="96"/>
    </x:row>
    <x:row r="98">
      <x:c r="A98" s="96"/>
      <x:c r="B98" s="96"/>
      <x:c r="C98" s="96"/>
      <x:c r="D98" s="96"/>
      <x:c r="E98" s="96"/>
      <x:c r="F98" s="96"/>
      <x:c r="G98" s="96"/>
      <x:c r="H98" s="96"/>
      <x:c r="I98" s="96"/>
      <x:c r="J98" s="96"/>
      <x:c r="K98" s="96"/>
      <x:c r="L98" s="96"/>
      <x:c r="M98" s="96"/>
      <x:c r="N98" s="96"/>
      <x:c r="O98" s="96"/>
      <x:c r="P98" s="96"/>
      <x:c r="Q98" s="96"/>
      <x:c r="R98" s="96"/>
      <x:c r="S98" s="96"/>
      <x:c r="T98" s="96"/>
      <x:c r="U98" s="96"/>
      <x:c r="V98" s="96"/>
      <x:c r="W98" s="96"/>
      <x:c r="X98" s="96"/>
      <x:c r="Y98" s="96"/>
      <x:c r="Z98" s="96"/>
    </x:row>
    <x:row r="99">
      <x:c r="A99" s="96"/>
      <x:c r="B99" s="96"/>
      <x:c r="C99" s="96"/>
      <x:c r="D99" s="96"/>
      <x:c r="E99" s="96"/>
      <x:c r="F99" s="96"/>
      <x:c r="G99" s="96"/>
      <x:c r="H99" s="96"/>
      <x:c r="I99" s="96"/>
      <x:c r="J99" s="96"/>
      <x:c r="K99" s="96"/>
      <x:c r="L99" s="96"/>
      <x:c r="M99" s="96"/>
      <x:c r="N99" s="96"/>
      <x:c r="O99" s="96"/>
      <x:c r="P99" s="96"/>
      <x:c r="Q99" s="96"/>
      <x:c r="R99" s="96"/>
      <x:c r="S99" s="96"/>
      <x:c r="T99" s="96"/>
      <x:c r="U99" s="96"/>
      <x:c r="V99" s="96"/>
      <x:c r="W99" s="96"/>
      <x:c r="X99" s="96"/>
      <x:c r="Y99" s="96"/>
      <x:c r="Z99" s="96"/>
    </x:row>
    <x:row r="100">
      <x:c r="A100" s="96"/>
      <x:c r="B100" s="96"/>
      <x:c r="C100" s="96"/>
      <x:c r="D100" s="96"/>
      <x:c r="E100" s="96"/>
      <x:c r="F100" s="96"/>
      <x:c r="G100" s="96"/>
      <x:c r="H100" s="96"/>
      <x:c r="I100" s="96"/>
      <x:c r="J100" s="96"/>
      <x:c r="K100" s="96"/>
      <x:c r="L100" s="96"/>
      <x:c r="M100" s="96"/>
      <x:c r="N100" s="96"/>
      <x:c r="O100" s="96"/>
      <x:c r="P100" s="96"/>
      <x:c r="Q100" s="96"/>
      <x:c r="R100" s="96"/>
      <x:c r="S100" s="96"/>
      <x:c r="T100" s="96"/>
      <x:c r="U100" s="96"/>
      <x:c r="V100" s="96"/>
      <x:c r="W100" s="96"/>
      <x:c r="X100" s="96"/>
      <x:c r="Y100" s="96"/>
      <x:c r="Z100" s="96"/>
    </x:row>
    <x:row r="101">
      <x:c r="A101" s="96"/>
      <x:c r="B101" s="96"/>
      <x:c r="C101" s="96"/>
      <x:c r="D101" s="96"/>
      <x:c r="E101" s="96"/>
      <x:c r="F101" s="96"/>
      <x:c r="G101" s="96"/>
      <x:c r="H101" s="96"/>
      <x:c r="I101" s="96"/>
      <x:c r="J101" s="96"/>
      <x:c r="K101" s="96"/>
      <x:c r="L101" s="96"/>
      <x:c r="M101" s="96"/>
      <x:c r="N101" s="96"/>
      <x:c r="O101" s="96"/>
      <x:c r="P101" s="96"/>
      <x:c r="Q101" s="96"/>
      <x:c r="R101" s="96"/>
      <x:c r="S101" s="96"/>
      <x:c r="T101" s="96"/>
      <x:c r="U101" s="96"/>
      <x:c r="V101" s="96"/>
      <x:c r="W101" s="96"/>
      <x:c r="X101" s="96"/>
      <x:c r="Y101" s="96"/>
      <x:c r="Z101" s="96"/>
    </x:row>
    <x:row r="102">
      <x:c r="A102" s="96"/>
      <x:c r="B102" s="96"/>
      <x:c r="C102" s="96"/>
      <x:c r="D102" s="96"/>
      <x:c r="E102" s="96"/>
      <x:c r="F102" s="96"/>
      <x:c r="G102" s="96"/>
      <x:c r="H102" s="96"/>
      <x:c r="I102" s="96"/>
      <x:c r="J102" s="96"/>
      <x:c r="K102" s="96"/>
      <x:c r="L102" s="96"/>
      <x:c r="M102" s="96"/>
      <x:c r="N102" s="96"/>
      <x:c r="O102" s="96"/>
      <x:c r="P102" s="96"/>
      <x:c r="Q102" s="96"/>
      <x:c r="R102" s="96"/>
      <x:c r="S102" s="96"/>
      <x:c r="T102" s="96"/>
      <x:c r="U102" s="96"/>
      <x:c r="V102" s="96"/>
      <x:c r="W102" s="96"/>
      <x:c r="X102" s="96"/>
      <x:c r="Y102" s="96"/>
      <x:c r="Z102" s="96"/>
    </x:row>
    <x:row r="103">
      <x:c r="A103" s="96"/>
      <x:c r="B103" s="96"/>
      <x:c r="C103" s="96"/>
      <x:c r="D103" s="96"/>
      <x:c r="E103" s="96"/>
      <x:c r="F103" s="96"/>
      <x:c r="G103" s="96"/>
      <x:c r="H103" s="96"/>
      <x:c r="I103" s="96"/>
      <x:c r="J103" s="96"/>
      <x:c r="K103" s="96"/>
      <x:c r="L103" s="96"/>
      <x:c r="M103" s="96"/>
      <x:c r="N103" s="96"/>
      <x:c r="O103" s="96"/>
      <x:c r="P103" s="96"/>
      <x:c r="Q103" s="96"/>
      <x:c r="R103" s="96"/>
      <x:c r="S103" s="96"/>
      <x:c r="T103" s="96"/>
      <x:c r="U103" s="96"/>
      <x:c r="V103" s="96"/>
      <x:c r="W103" s="96"/>
      <x:c r="X103" s="96"/>
      <x:c r="Y103" s="96"/>
      <x:c r="Z103" s="96"/>
    </x:row>
    <x:row r="104">
      <x:c r="A104" s="96"/>
      <x:c r="B104" s="96"/>
      <x:c r="C104" s="96"/>
      <x:c r="D104" s="96"/>
      <x:c r="E104" s="96"/>
      <x:c r="F104" s="96"/>
      <x:c r="G104" s="96"/>
      <x:c r="H104" s="96"/>
      <x:c r="I104" s="96"/>
      <x:c r="J104" s="96"/>
      <x:c r="K104" s="96"/>
      <x:c r="L104" s="96"/>
      <x:c r="M104" s="96"/>
      <x:c r="N104" s="96"/>
      <x:c r="O104" s="96"/>
      <x:c r="P104" s="96"/>
      <x:c r="Q104" s="96"/>
      <x:c r="R104" s="96"/>
      <x:c r="S104" s="96"/>
      <x:c r="T104" s="96"/>
      <x:c r="U104" s="96"/>
      <x:c r="V104" s="96"/>
      <x:c r="W104" s="96"/>
      <x:c r="X104" s="96"/>
      <x:c r="Y104" s="96"/>
      <x:c r="Z104" s="96"/>
    </x:row>
    <x:row r="105">
      <x:c r="A105" s="96"/>
      <x:c r="B105" s="96"/>
      <x:c r="C105" s="96"/>
      <x:c r="D105" s="96"/>
      <x:c r="E105" s="96"/>
      <x:c r="F105" s="96"/>
      <x:c r="G105" s="96"/>
      <x:c r="H105" s="96"/>
      <x:c r="I105" s="96"/>
      <x:c r="J105" s="96"/>
      <x:c r="K105" s="96"/>
      <x:c r="L105" s="96"/>
      <x:c r="M105" s="96"/>
      <x:c r="N105" s="96"/>
      <x:c r="O105" s="96"/>
      <x:c r="P105" s="96"/>
      <x:c r="Q105" s="96"/>
      <x:c r="R105" s="96"/>
      <x:c r="S105" s="96"/>
      <x:c r="T105" s="96"/>
      <x:c r="U105" s="96"/>
      <x:c r="V105" s="96"/>
      <x:c r="W105" s="96"/>
      <x:c r="X105" s="96"/>
      <x:c r="Y105" s="96"/>
      <x:c r="Z105" s="96"/>
    </x:row>
    <x:row r="106">
      <x:c r="A106" s="96"/>
      <x:c r="B106" s="96"/>
      <x:c r="C106" s="96"/>
      <x:c r="D106" s="96"/>
      <x:c r="E106" s="96"/>
      <x:c r="F106" s="96"/>
      <x:c r="G106" s="96"/>
      <x:c r="H106" s="96"/>
      <x:c r="I106" s="96"/>
      <x:c r="J106" s="96"/>
      <x:c r="K106" s="96"/>
      <x:c r="L106" s="96"/>
      <x:c r="M106" s="96"/>
      <x:c r="N106" s="96"/>
      <x:c r="O106" s="96"/>
      <x:c r="P106" s="96"/>
      <x:c r="Q106" s="96"/>
      <x:c r="R106" s="96"/>
      <x:c r="S106" s="96"/>
      <x:c r="T106" s="96"/>
      <x:c r="U106" s="96"/>
      <x:c r="V106" s="96"/>
      <x:c r="W106" s="96"/>
      <x:c r="X106" s="96"/>
      <x:c r="Y106" s="96"/>
      <x:c r="Z106" s="96"/>
    </x:row>
    <x:row r="107">
      <x:c r="A107" s="96"/>
      <x:c r="B107" s="96"/>
      <x:c r="C107" s="96"/>
      <x:c r="D107" s="96"/>
      <x:c r="E107" s="96"/>
      <x:c r="F107" s="96"/>
      <x:c r="G107" s="96"/>
      <x:c r="H107" s="96"/>
      <x:c r="I107" s="96"/>
      <x:c r="J107" s="96"/>
      <x:c r="K107" s="96"/>
      <x:c r="L107" s="96"/>
      <x:c r="M107" s="96"/>
      <x:c r="N107" s="96"/>
      <x:c r="O107" s="96"/>
      <x:c r="P107" s="96"/>
      <x:c r="Q107" s="96"/>
      <x:c r="R107" s="96"/>
      <x:c r="S107" s="96"/>
      <x:c r="T107" s="96"/>
      <x:c r="U107" s="96"/>
      <x:c r="V107" s="96"/>
      <x:c r="W107" s="96"/>
      <x:c r="X107" s="96"/>
      <x:c r="Y107" s="96"/>
      <x:c r="Z107" s="96"/>
    </x:row>
    <x:row r="108">
      <x:c r="A108" s="96"/>
      <x:c r="B108" s="96"/>
      <x:c r="C108" s="96"/>
      <x:c r="D108" s="96"/>
      <x:c r="E108" s="96"/>
      <x:c r="F108" s="96"/>
      <x:c r="G108" s="96"/>
      <x:c r="H108" s="96"/>
      <x:c r="I108" s="96"/>
      <x:c r="J108" s="96"/>
      <x:c r="K108" s="96"/>
      <x:c r="L108" s="96"/>
      <x:c r="M108" s="96"/>
      <x:c r="N108" s="96"/>
      <x:c r="O108" s="96"/>
      <x:c r="P108" s="96"/>
      <x:c r="Q108" s="96"/>
      <x:c r="R108" s="96"/>
      <x:c r="S108" s="96"/>
      <x:c r="T108" s="96"/>
      <x:c r="U108" s="96"/>
      <x:c r="V108" s="96"/>
      <x:c r="W108" s="96"/>
      <x:c r="X108" s="96"/>
      <x:c r="Y108" s="96"/>
      <x:c r="Z108" s="96"/>
    </x:row>
    <x:row r="109">
      <x:c r="A109" s="96"/>
      <x:c r="B109" s="96"/>
      <x:c r="C109" s="96"/>
      <x:c r="D109" s="96"/>
      <x:c r="E109" s="96"/>
      <x:c r="F109" s="96"/>
      <x:c r="G109" s="96"/>
      <x:c r="H109" s="96"/>
      <x:c r="I109" s="96"/>
      <x:c r="J109" s="96"/>
      <x:c r="K109" s="96"/>
      <x:c r="L109" s="96"/>
      <x:c r="M109" s="96"/>
      <x:c r="N109" s="96"/>
      <x:c r="O109" s="96"/>
      <x:c r="P109" s="96"/>
      <x:c r="Q109" s="96"/>
      <x:c r="R109" s="96"/>
      <x:c r="S109" s="96"/>
      <x:c r="T109" s="96"/>
      <x:c r="U109" s="96"/>
      <x:c r="V109" s="96"/>
      <x:c r="W109" s="96"/>
      <x:c r="X109" s="96"/>
      <x:c r="Y109" s="96"/>
      <x:c r="Z109" s="96"/>
    </x:row>
    <x:row r="110">
      <x:c r="A110" s="96"/>
      <x:c r="B110" s="96"/>
      <x:c r="C110" s="96"/>
      <x:c r="D110" s="96"/>
      <x:c r="E110" s="96"/>
      <x:c r="F110" s="96"/>
      <x:c r="G110" s="96"/>
      <x:c r="H110" s="96"/>
      <x:c r="I110" s="96"/>
      <x:c r="J110" s="96"/>
      <x:c r="K110" s="96"/>
      <x:c r="L110" s="96"/>
      <x:c r="M110" s="96"/>
      <x:c r="N110" s="96"/>
      <x:c r="O110" s="96"/>
      <x:c r="P110" s="96"/>
      <x:c r="Q110" s="96"/>
      <x:c r="R110" s="96"/>
      <x:c r="S110" s="96"/>
      <x:c r="T110" s="96"/>
      <x:c r="U110" s="96"/>
      <x:c r="V110" s="96"/>
      <x:c r="W110" s="96"/>
      <x:c r="X110" s="96"/>
      <x:c r="Y110" s="96"/>
      <x:c r="Z110" s="96"/>
    </x:row>
    <x:row r="111">
      <x:c r="A111" s="96"/>
      <x:c r="B111" s="96"/>
      <x:c r="C111" s="96"/>
      <x:c r="D111" s="96"/>
      <x:c r="E111" s="96"/>
      <x:c r="F111" s="96"/>
      <x:c r="G111" s="96"/>
      <x:c r="H111" s="96"/>
      <x:c r="I111" s="96"/>
      <x:c r="J111" s="96"/>
      <x:c r="K111" s="96"/>
      <x:c r="L111" s="96"/>
      <x:c r="M111" s="96"/>
      <x:c r="N111" s="96"/>
      <x:c r="O111" s="96"/>
      <x:c r="P111" s="96"/>
      <x:c r="Q111" s="96"/>
      <x:c r="R111" s="96"/>
      <x:c r="S111" s="96"/>
      <x:c r="T111" s="96"/>
      <x:c r="U111" s="96"/>
      <x:c r="V111" s="96"/>
      <x:c r="W111" s="96"/>
      <x:c r="X111" s="96"/>
      <x:c r="Y111" s="96"/>
      <x:c r="Z111" s="96"/>
    </x:row>
    <x:row r="112">
      <x:c r="A112" s="96"/>
      <x:c r="B112" s="96"/>
      <x:c r="C112" s="96"/>
      <x:c r="D112" s="96"/>
      <x:c r="E112" s="96"/>
      <x:c r="F112" s="96"/>
      <x:c r="G112" s="96"/>
      <x:c r="H112" s="96"/>
      <x:c r="I112" s="96"/>
      <x:c r="J112" s="96"/>
      <x:c r="K112" s="96"/>
      <x:c r="L112" s="96"/>
      <x:c r="M112" s="96"/>
      <x:c r="N112" s="96"/>
      <x:c r="O112" s="96"/>
      <x:c r="P112" s="96"/>
      <x:c r="Q112" s="96"/>
      <x:c r="R112" s="96"/>
      <x:c r="S112" s="96"/>
      <x:c r="T112" s="96"/>
      <x:c r="U112" s="96"/>
      <x:c r="V112" s="96"/>
      <x:c r="W112" s="96"/>
      <x:c r="X112" s="96"/>
      <x:c r="Y112" s="96"/>
      <x:c r="Z112" s="96"/>
    </x:row>
    <x:row r="113">
      <x:c r="A113" s="96"/>
      <x:c r="B113" s="96"/>
      <x:c r="C113" s="96"/>
      <x:c r="D113" s="96"/>
      <x:c r="E113" s="96"/>
      <x:c r="F113" s="96"/>
      <x:c r="G113" s="96"/>
      <x:c r="H113" s="96"/>
      <x:c r="I113" s="96"/>
      <x:c r="J113" s="96"/>
      <x:c r="K113" s="96"/>
      <x:c r="L113" s="96"/>
      <x:c r="M113" s="96"/>
      <x:c r="N113" s="96"/>
      <x:c r="O113" s="96"/>
      <x:c r="P113" s="96"/>
      <x:c r="Q113" s="96"/>
      <x:c r="R113" s="96"/>
      <x:c r="S113" s="96"/>
      <x:c r="T113" s="96"/>
      <x:c r="U113" s="96"/>
      <x:c r="V113" s="96"/>
      <x:c r="W113" s="96"/>
      <x:c r="X113" s="96"/>
      <x:c r="Y113" s="96"/>
      <x:c r="Z113" s="96"/>
    </x:row>
    <x:row r="114">
      <x:c r="A114" s="96"/>
      <x:c r="B114" s="96"/>
      <x:c r="C114" s="96"/>
      <x:c r="D114" s="96"/>
      <x:c r="E114" s="96"/>
      <x:c r="F114" s="96"/>
      <x:c r="G114" s="96"/>
      <x:c r="H114" s="96"/>
      <x:c r="I114" s="96"/>
      <x:c r="J114" s="96"/>
      <x:c r="K114" s="96"/>
      <x:c r="L114" s="96"/>
      <x:c r="M114" s="96"/>
      <x:c r="N114" s="96"/>
      <x:c r="O114" s="96"/>
      <x:c r="P114" s="96"/>
      <x:c r="Q114" s="96"/>
      <x:c r="R114" s="96"/>
      <x:c r="S114" s="96"/>
      <x:c r="T114" s="96"/>
      <x:c r="U114" s="96"/>
      <x:c r="V114" s="96"/>
      <x:c r="W114" s="96"/>
      <x:c r="X114" s="96"/>
      <x:c r="Y114" s="96"/>
      <x:c r="Z114" s="96"/>
    </x:row>
    <x:row r="115">
      <x:c r="A115" s="96"/>
      <x:c r="B115" s="96"/>
      <x:c r="C115" s="96"/>
      <x:c r="D115" s="96"/>
      <x:c r="E115" s="96"/>
      <x:c r="F115" s="96"/>
      <x:c r="G115" s="96"/>
      <x:c r="H115" s="96"/>
      <x:c r="I115" s="96"/>
      <x:c r="J115" s="96"/>
      <x:c r="K115" s="96"/>
      <x:c r="L115" s="96"/>
      <x:c r="M115" s="96"/>
      <x:c r="N115" s="96"/>
      <x:c r="O115" s="96"/>
      <x:c r="P115" s="96"/>
      <x:c r="Q115" s="96"/>
      <x:c r="R115" s="96"/>
      <x:c r="S115" s="96"/>
      <x:c r="T115" s="96"/>
      <x:c r="U115" s="96"/>
      <x:c r="V115" s="96"/>
      <x:c r="W115" s="96"/>
      <x:c r="X115" s="96"/>
      <x:c r="Y115" s="96"/>
      <x:c r="Z115" s="96"/>
    </x:row>
    <x:row r="116">
      <x:c r="A116" s="96"/>
      <x:c r="B116" s="96"/>
      <x:c r="C116" s="96"/>
      <x:c r="D116" s="96"/>
      <x:c r="E116" s="96"/>
      <x:c r="F116" s="96"/>
      <x:c r="G116" s="96"/>
      <x:c r="H116" s="96"/>
      <x:c r="I116" s="96"/>
      <x:c r="J116" s="96"/>
      <x:c r="K116" s="96"/>
      <x:c r="L116" s="96"/>
      <x:c r="M116" s="96"/>
      <x:c r="N116" s="96"/>
      <x:c r="O116" s="96"/>
      <x:c r="P116" s="96"/>
      <x:c r="Q116" s="96"/>
      <x:c r="R116" s="96"/>
      <x:c r="S116" s="96"/>
      <x:c r="T116" s="96"/>
      <x:c r="U116" s="96"/>
      <x:c r="V116" s="96"/>
      <x:c r="W116" s="96"/>
      <x:c r="X116" s="96"/>
      <x:c r="Y116" s="96"/>
      <x:c r="Z116" s="96"/>
    </x:row>
    <x:row r="117">
      <x:c r="A117" s="96"/>
      <x:c r="B117" s="96"/>
      <x:c r="C117" s="96"/>
      <x:c r="D117" s="96"/>
      <x:c r="E117" s="96"/>
      <x:c r="F117" s="96"/>
      <x:c r="G117" s="96"/>
      <x:c r="H117" s="96"/>
      <x:c r="I117" s="96"/>
      <x:c r="J117" s="96"/>
      <x:c r="K117" s="96"/>
      <x:c r="L117" s="96"/>
      <x:c r="M117" s="96"/>
      <x:c r="N117" s="96"/>
      <x:c r="O117" s="96"/>
      <x:c r="P117" s="96"/>
      <x:c r="Q117" s="96"/>
      <x:c r="R117" s="96"/>
      <x:c r="S117" s="96"/>
      <x:c r="T117" s="96"/>
      <x:c r="U117" s="96"/>
      <x:c r="V117" s="96"/>
      <x:c r="W117" s="96"/>
      <x:c r="X117" s="96"/>
      <x:c r="Y117" s="96"/>
      <x:c r="Z117" s="96"/>
    </x:row>
    <x:row r="118">
      <x:c r="A118" s="96"/>
      <x:c r="B118" s="96"/>
      <x:c r="C118" s="96"/>
      <x:c r="D118" s="96"/>
      <x:c r="E118" s="96"/>
      <x:c r="F118" s="96"/>
      <x:c r="G118" s="96"/>
      <x:c r="H118" s="96"/>
      <x:c r="I118" s="96"/>
      <x:c r="J118" s="96"/>
      <x:c r="K118" s="96"/>
      <x:c r="L118" s="96"/>
      <x:c r="M118" s="96"/>
      <x:c r="N118" s="96"/>
      <x:c r="O118" s="96"/>
      <x:c r="P118" s="96"/>
      <x:c r="Q118" s="96"/>
      <x:c r="R118" s="96"/>
      <x:c r="S118" s="96"/>
      <x:c r="T118" s="96"/>
      <x:c r="U118" s="96"/>
      <x:c r="V118" s="96"/>
      <x:c r="W118" s="96"/>
      <x:c r="X118" s="96"/>
      <x:c r="Y118" s="96"/>
      <x:c r="Z118" s="96"/>
    </x:row>
    <x:row r="119">
      <x:c r="A119" s="96"/>
      <x:c r="B119" s="96"/>
      <x:c r="C119" s="96"/>
      <x:c r="D119" s="96"/>
      <x:c r="E119" s="96"/>
      <x:c r="F119" s="96"/>
      <x:c r="G119" s="96"/>
      <x:c r="H119" s="96"/>
      <x:c r="I119" s="96"/>
      <x:c r="J119" s="96"/>
      <x:c r="K119" s="96"/>
      <x:c r="L119" s="96"/>
      <x:c r="M119" s="96"/>
      <x:c r="N119" s="96"/>
      <x:c r="O119" s="96"/>
      <x:c r="P119" s="96"/>
      <x:c r="Q119" s="96"/>
      <x:c r="R119" s="96"/>
      <x:c r="S119" s="96"/>
      <x:c r="T119" s="96"/>
      <x:c r="U119" s="96"/>
      <x:c r="V119" s="96"/>
      <x:c r="W119" s="96"/>
      <x:c r="X119" s="96"/>
      <x:c r="Y119" s="96"/>
      <x:c r="Z119" s="96"/>
    </x:row>
    <x:row r="120">
      <x:c r="A120" s="96"/>
      <x:c r="B120" s="96"/>
      <x:c r="C120" s="96"/>
      <x:c r="D120" s="96"/>
      <x:c r="E120" s="96"/>
      <x:c r="F120" s="96"/>
      <x:c r="G120" s="96"/>
      <x:c r="H120" s="96"/>
      <x:c r="I120" s="96"/>
      <x:c r="J120" s="96"/>
      <x:c r="K120" s="96"/>
      <x:c r="L120" s="96"/>
      <x:c r="M120" s="96"/>
      <x:c r="N120" s="96"/>
      <x:c r="O120" s="96"/>
      <x:c r="P120" s="96"/>
      <x:c r="Q120" s="96"/>
      <x:c r="R120" s="96"/>
      <x:c r="S120" s="96"/>
      <x:c r="T120" s="96"/>
      <x:c r="U120" s="96"/>
      <x:c r="V120" s="96"/>
      <x:c r="W120" s="96"/>
      <x:c r="X120" s="96"/>
      <x:c r="Y120" s="96"/>
      <x:c r="Z120" s="96"/>
    </x:row>
    <x:row r="121">
      <x:c r="A121" s="96"/>
      <x:c r="B121" s="96"/>
      <x:c r="C121" s="96"/>
      <x:c r="D121" s="96"/>
      <x:c r="E121" s="96"/>
      <x:c r="F121" s="96"/>
      <x:c r="G121" s="96"/>
      <x:c r="H121" s="96"/>
      <x:c r="I121" s="96"/>
      <x:c r="J121" s="96"/>
      <x:c r="K121" s="96"/>
      <x:c r="L121" s="96"/>
      <x:c r="M121" s="96"/>
      <x:c r="N121" s="96"/>
      <x:c r="O121" s="96"/>
      <x:c r="P121" s="96"/>
      <x:c r="Q121" s="96"/>
      <x:c r="R121" s="96"/>
      <x:c r="S121" s="96"/>
      <x:c r="T121" s="96"/>
      <x:c r="U121" s="96"/>
      <x:c r="V121" s="96"/>
      <x:c r="W121" s="96"/>
      <x:c r="X121" s="96"/>
      <x:c r="Y121" s="96"/>
      <x:c r="Z121" s="96"/>
    </x:row>
    <x:row r="122">
      <x:c r="A122" s="96"/>
      <x:c r="B122" s="96"/>
      <x:c r="C122" s="96"/>
      <x:c r="D122" s="96"/>
      <x:c r="E122" s="96"/>
      <x:c r="F122" s="96"/>
      <x:c r="G122" s="96"/>
      <x:c r="H122" s="96"/>
      <x:c r="I122" s="96"/>
      <x:c r="J122" s="96"/>
      <x:c r="K122" s="96"/>
      <x:c r="L122" s="96"/>
      <x:c r="M122" s="96"/>
      <x:c r="N122" s="96"/>
      <x:c r="O122" s="96"/>
      <x:c r="P122" s="96"/>
      <x:c r="Q122" s="96"/>
      <x:c r="R122" s="96"/>
      <x:c r="S122" s="96"/>
      <x:c r="T122" s="96"/>
      <x:c r="U122" s="96"/>
      <x:c r="V122" s="96"/>
      <x:c r="W122" s="96"/>
      <x:c r="X122" s="96"/>
      <x:c r="Y122" s="96"/>
      <x:c r="Z122" s="96"/>
    </x:row>
    <x:row r="123">
      <x:c r="A123" s="96"/>
      <x:c r="B123" s="96"/>
      <x:c r="C123" s="96"/>
      <x:c r="D123" s="96"/>
      <x:c r="E123" s="96"/>
      <x:c r="F123" s="96"/>
      <x:c r="G123" s="96"/>
      <x:c r="H123" s="96"/>
      <x:c r="I123" s="96"/>
      <x:c r="J123" s="96"/>
      <x:c r="K123" s="96"/>
      <x:c r="L123" s="96"/>
      <x:c r="M123" s="96"/>
      <x:c r="N123" s="96"/>
      <x:c r="O123" s="96"/>
      <x:c r="P123" s="96"/>
      <x:c r="Q123" s="96"/>
      <x:c r="R123" s="96"/>
      <x:c r="S123" s="96"/>
      <x:c r="T123" s="96"/>
      <x:c r="U123" s="96"/>
      <x:c r="V123" s="96"/>
      <x:c r="W123" s="96"/>
      <x:c r="X123" s="96"/>
      <x:c r="Y123" s="96"/>
      <x:c r="Z123" s="96"/>
    </x:row>
    <x:row r="124">
      <x:c r="A124" s="96"/>
      <x:c r="B124" s="96"/>
      <x:c r="C124" s="96"/>
      <x:c r="D124" s="96"/>
      <x:c r="E124" s="96"/>
      <x:c r="F124" s="96"/>
      <x:c r="G124" s="96"/>
      <x:c r="H124" s="96"/>
      <x:c r="I124" s="96"/>
      <x:c r="J124" s="96"/>
      <x:c r="K124" s="96"/>
      <x:c r="L124" s="96"/>
      <x:c r="M124" s="96"/>
      <x:c r="N124" s="96"/>
      <x:c r="O124" s="96"/>
      <x:c r="P124" s="96"/>
      <x:c r="Q124" s="96"/>
      <x:c r="R124" s="96"/>
      <x:c r="S124" s="96"/>
      <x:c r="T124" s="96"/>
      <x:c r="U124" s="96"/>
      <x:c r="V124" s="96"/>
      <x:c r="W124" s="96"/>
      <x:c r="X124" s="96"/>
      <x:c r="Y124" s="96"/>
      <x:c r="Z124" s="96"/>
    </x:row>
    <x:row r="125">
      <x:c r="A125" s="96"/>
      <x:c r="B125" s="96"/>
      <x:c r="C125" s="96"/>
      <x:c r="D125" s="96"/>
      <x:c r="E125" s="96"/>
      <x:c r="F125" s="96"/>
      <x:c r="G125" s="96"/>
      <x:c r="H125" s="96"/>
      <x:c r="I125" s="96"/>
      <x:c r="J125" s="96"/>
      <x:c r="K125" s="96"/>
      <x:c r="L125" s="96"/>
      <x:c r="M125" s="96"/>
      <x:c r="N125" s="96"/>
      <x:c r="O125" s="96"/>
      <x:c r="P125" s="96"/>
      <x:c r="Q125" s="96"/>
      <x:c r="R125" s="96"/>
      <x:c r="S125" s="96"/>
      <x:c r="T125" s="96"/>
      <x:c r="U125" s="96"/>
      <x:c r="V125" s="96"/>
      <x:c r="W125" s="96"/>
      <x:c r="X125" s="96"/>
      <x:c r="Y125" s="96"/>
      <x:c r="Z125" s="96"/>
    </x:row>
    <x:row r="126">
      <x:c r="A126" s="96"/>
      <x:c r="B126" s="96"/>
      <x:c r="C126" s="96"/>
      <x:c r="D126" s="96"/>
      <x:c r="E126" s="96"/>
      <x:c r="F126" s="96"/>
      <x:c r="G126" s="96"/>
      <x:c r="H126" s="96"/>
      <x:c r="I126" s="96"/>
      <x:c r="J126" s="96"/>
      <x:c r="K126" s="96"/>
      <x:c r="L126" s="96"/>
      <x:c r="M126" s="96"/>
      <x:c r="N126" s="96"/>
      <x:c r="O126" s="96"/>
      <x:c r="P126" s="96"/>
      <x:c r="Q126" s="96"/>
      <x:c r="R126" s="96"/>
      <x:c r="S126" s="96"/>
      <x:c r="T126" s="96"/>
      <x:c r="U126" s="96"/>
      <x:c r="V126" s="96"/>
      <x:c r="W126" s="96"/>
      <x:c r="X126" s="96"/>
      <x:c r="Y126" s="96"/>
      <x:c r="Z126" s="96"/>
    </x:row>
    <x:row r="127">
      <x:c r="A127" s="96"/>
      <x:c r="B127" s="96"/>
      <x:c r="C127" s="96"/>
      <x:c r="D127" s="96"/>
      <x:c r="E127" s="96"/>
      <x:c r="F127" s="96"/>
      <x:c r="G127" s="96"/>
      <x:c r="H127" s="96"/>
      <x:c r="I127" s="96"/>
      <x:c r="J127" s="96"/>
      <x:c r="K127" s="96"/>
      <x:c r="L127" s="96"/>
      <x:c r="M127" s="96"/>
      <x:c r="N127" s="96"/>
      <x:c r="O127" s="96"/>
      <x:c r="P127" s="96"/>
      <x:c r="Q127" s="96"/>
      <x:c r="R127" s="96"/>
      <x:c r="S127" s="96"/>
      <x:c r="T127" s="96"/>
      <x:c r="U127" s="96"/>
      <x:c r="V127" s="96"/>
      <x:c r="W127" s="96"/>
      <x:c r="X127" s="96"/>
      <x:c r="Y127" s="96"/>
      <x:c r="Z127" s="96"/>
    </x:row>
    <x:row r="128">
      <x:c r="A128" s="96"/>
      <x:c r="B128" s="96"/>
      <x:c r="C128" s="96"/>
      <x:c r="D128" s="96"/>
      <x:c r="E128" s="96"/>
      <x:c r="F128" s="96"/>
      <x:c r="G128" s="96"/>
      <x:c r="H128" s="96"/>
      <x:c r="I128" s="96"/>
      <x:c r="J128" s="96"/>
      <x:c r="K128" s="96"/>
      <x:c r="L128" s="96"/>
      <x:c r="M128" s="96"/>
      <x:c r="N128" s="96"/>
      <x:c r="O128" s="96"/>
      <x:c r="P128" s="96"/>
      <x:c r="Q128" s="96"/>
      <x:c r="R128" s="96"/>
      <x:c r="S128" s="96"/>
      <x:c r="T128" s="96"/>
      <x:c r="U128" s="96"/>
      <x:c r="V128" s="96"/>
      <x:c r="W128" s="96"/>
      <x:c r="X128" s="96"/>
      <x:c r="Y128" s="96"/>
      <x:c r="Z128" s="96"/>
    </x:row>
    <x:row r="129">
      <x:c r="A129" s="96"/>
      <x:c r="B129" s="96"/>
      <x:c r="C129" s="96"/>
      <x:c r="D129" s="96"/>
      <x:c r="E129" s="96"/>
      <x:c r="F129" s="96"/>
      <x:c r="G129" s="96"/>
      <x:c r="H129" s="96"/>
      <x:c r="I129" s="96"/>
      <x:c r="J129" s="96"/>
      <x:c r="K129" s="96"/>
      <x:c r="L129" s="96"/>
      <x:c r="M129" s="96"/>
      <x:c r="N129" s="96"/>
      <x:c r="O129" s="96"/>
      <x:c r="P129" s="96"/>
      <x:c r="Q129" s="96"/>
      <x:c r="R129" s="96"/>
      <x:c r="S129" s="96"/>
      <x:c r="T129" s="96"/>
      <x:c r="U129" s="96"/>
      <x:c r="V129" s="96"/>
      <x:c r="W129" s="96"/>
      <x:c r="X129" s="96"/>
      <x:c r="Y129" s="96"/>
      <x:c r="Z129" s="96"/>
    </x:row>
    <x:row r="130">
      <x:c r="A130" s="96"/>
      <x:c r="B130" s="96"/>
      <x:c r="C130" s="96"/>
      <x:c r="D130" s="96"/>
      <x:c r="E130" s="96"/>
      <x:c r="F130" s="96"/>
      <x:c r="G130" s="96"/>
      <x:c r="H130" s="96"/>
      <x:c r="I130" s="96"/>
      <x:c r="J130" s="96"/>
      <x:c r="K130" s="96"/>
      <x:c r="L130" s="96"/>
      <x:c r="M130" s="96"/>
      <x:c r="N130" s="96"/>
      <x:c r="O130" s="96"/>
      <x:c r="P130" s="96"/>
      <x:c r="Q130" s="96"/>
      <x:c r="R130" s="96"/>
      <x:c r="S130" s="96"/>
      <x:c r="T130" s="96"/>
      <x:c r="U130" s="96"/>
      <x:c r="V130" s="96"/>
      <x:c r="W130" s="96"/>
      <x:c r="X130" s="96"/>
      <x:c r="Y130" s="96"/>
      <x:c r="Z130" s="96"/>
    </x:row>
    <x:row r="131">
      <x:c r="A131" s="96"/>
      <x:c r="B131" s="96"/>
      <x:c r="C131" s="96"/>
      <x:c r="D131" s="96"/>
      <x:c r="E131" s="96"/>
      <x:c r="F131" s="96"/>
      <x:c r="G131" s="96"/>
      <x:c r="H131" s="96"/>
      <x:c r="I131" s="96"/>
      <x:c r="J131" s="96"/>
      <x:c r="K131" s="96"/>
      <x:c r="L131" s="96"/>
      <x:c r="M131" s="96"/>
      <x:c r="N131" s="96"/>
      <x:c r="O131" s="96"/>
      <x:c r="P131" s="96"/>
      <x:c r="Q131" s="96"/>
      <x:c r="R131" s="96"/>
      <x:c r="S131" s="96"/>
      <x:c r="T131" s="96"/>
      <x:c r="U131" s="96"/>
      <x:c r="V131" s="96"/>
      <x:c r="W131" s="96"/>
      <x:c r="X131" s="96"/>
      <x:c r="Y131" s="96"/>
      <x:c r="Z131" s="96"/>
    </x:row>
    <x:row r="132">
      <x:c r="A132" s="96"/>
      <x:c r="B132" s="96"/>
      <x:c r="C132" s="96"/>
      <x:c r="D132" s="96"/>
      <x:c r="E132" s="96"/>
      <x:c r="F132" s="96"/>
      <x:c r="G132" s="96"/>
      <x:c r="H132" s="96"/>
      <x:c r="I132" s="96"/>
      <x:c r="J132" s="96"/>
      <x:c r="K132" s="96"/>
      <x:c r="L132" s="96"/>
      <x:c r="M132" s="96"/>
      <x:c r="N132" s="96"/>
      <x:c r="O132" s="96"/>
      <x:c r="P132" s="96"/>
      <x:c r="Q132" s="96"/>
      <x:c r="R132" s="96"/>
      <x:c r="S132" s="96"/>
      <x:c r="T132" s="96"/>
      <x:c r="U132" s="96"/>
      <x:c r="V132" s="96"/>
      <x:c r="W132" s="96"/>
      <x:c r="X132" s="96"/>
      <x:c r="Y132" s="96"/>
      <x:c r="Z132" s="96"/>
    </x:row>
    <x:row r="133">
      <x:c r="A133" s="96"/>
      <x:c r="B133" s="96"/>
      <x:c r="C133" s="96"/>
      <x:c r="D133" s="96"/>
      <x:c r="E133" s="96"/>
      <x:c r="F133" s="96"/>
      <x:c r="G133" s="96"/>
      <x:c r="H133" s="96"/>
      <x:c r="I133" s="96"/>
      <x:c r="J133" s="96"/>
      <x:c r="K133" s="96"/>
      <x:c r="L133" s="96"/>
      <x:c r="M133" s="96"/>
      <x:c r="N133" s="96"/>
      <x:c r="O133" s="96"/>
      <x:c r="P133" s="96"/>
      <x:c r="Q133" s="96"/>
      <x:c r="R133" s="96"/>
      <x:c r="S133" s="96"/>
      <x:c r="T133" s="96"/>
      <x:c r="U133" s="96"/>
      <x:c r="V133" s="96"/>
      <x:c r="W133" s="96"/>
      <x:c r="X133" s="96"/>
      <x:c r="Y133" s="96"/>
      <x:c r="Z133" s="96"/>
    </x:row>
    <x:row r="134">
      <x:c r="A134" s="96"/>
      <x:c r="B134" s="96"/>
      <x:c r="C134" s="96"/>
      <x:c r="D134" s="96"/>
      <x:c r="E134" s="96"/>
      <x:c r="F134" s="96"/>
      <x:c r="G134" s="96"/>
      <x:c r="H134" s="96"/>
      <x:c r="I134" s="96"/>
      <x:c r="J134" s="96"/>
      <x:c r="K134" s="96"/>
      <x:c r="L134" s="96"/>
      <x:c r="M134" s="96"/>
      <x:c r="N134" s="96"/>
      <x:c r="O134" s="96"/>
      <x:c r="P134" s="96"/>
      <x:c r="Q134" s="96"/>
      <x:c r="R134" s="96"/>
      <x:c r="S134" s="96"/>
      <x:c r="T134" s="96"/>
      <x:c r="U134" s="96"/>
      <x:c r="V134" s="96"/>
      <x:c r="W134" s="96"/>
      <x:c r="X134" s="96"/>
      <x:c r="Y134" s="96"/>
      <x:c r="Z134" s="96"/>
    </x:row>
    <x:row r="135">
      <x:c r="A135" s="96"/>
      <x:c r="B135" s="96"/>
      <x:c r="C135" s="96"/>
      <x:c r="D135" s="96"/>
      <x:c r="E135" s="96"/>
      <x:c r="F135" s="96"/>
      <x:c r="G135" s="96"/>
      <x:c r="H135" s="96"/>
      <x:c r="I135" s="96"/>
      <x:c r="J135" s="96"/>
      <x:c r="K135" s="96"/>
      <x:c r="L135" s="96"/>
      <x:c r="M135" s="96"/>
      <x:c r="N135" s="96"/>
      <x:c r="O135" s="96"/>
      <x:c r="P135" s="96"/>
      <x:c r="Q135" s="96"/>
      <x:c r="R135" s="96"/>
      <x:c r="S135" s="96"/>
      <x:c r="T135" s="96"/>
      <x:c r="U135" s="96"/>
      <x:c r="V135" s="96"/>
      <x:c r="W135" s="96"/>
      <x:c r="X135" s="96"/>
      <x:c r="Y135" s="96"/>
      <x:c r="Z135" s="96"/>
    </x:row>
    <x:row r="136">
      <x:c r="A136" s="96"/>
      <x:c r="B136" s="96"/>
      <x:c r="C136" s="96"/>
      <x:c r="D136" s="96"/>
      <x:c r="E136" s="96"/>
      <x:c r="F136" s="96"/>
      <x:c r="G136" s="96"/>
      <x:c r="H136" s="96"/>
      <x:c r="I136" s="96"/>
      <x:c r="J136" s="96"/>
      <x:c r="K136" s="96"/>
      <x:c r="L136" s="96"/>
      <x:c r="M136" s="96"/>
      <x:c r="N136" s="96"/>
      <x:c r="O136" s="96"/>
      <x:c r="P136" s="96"/>
      <x:c r="Q136" s="96"/>
      <x:c r="R136" s="96"/>
      <x:c r="S136" s="96"/>
      <x:c r="T136" s="96"/>
      <x:c r="U136" s="96"/>
      <x:c r="V136" s="96"/>
      <x:c r="W136" s="96"/>
      <x:c r="X136" s="96"/>
      <x:c r="Y136" s="96"/>
      <x:c r="Z136" s="96"/>
    </x:row>
    <x:row r="137">
      <x:c r="A137" s="96"/>
      <x:c r="B137" s="96"/>
      <x:c r="C137" s="96"/>
      <x:c r="D137" s="96"/>
      <x:c r="E137" s="96"/>
      <x:c r="F137" s="96"/>
      <x:c r="G137" s="96"/>
      <x:c r="H137" s="96"/>
      <x:c r="I137" s="96"/>
      <x:c r="J137" s="96"/>
      <x:c r="K137" s="96"/>
      <x:c r="L137" s="96"/>
      <x:c r="M137" s="96"/>
      <x:c r="N137" s="96"/>
      <x:c r="O137" s="96"/>
      <x:c r="P137" s="96"/>
      <x:c r="Q137" s="96"/>
      <x:c r="R137" s="96"/>
      <x:c r="S137" s="96"/>
      <x:c r="T137" s="96"/>
      <x:c r="U137" s="96"/>
      <x:c r="V137" s="96"/>
      <x:c r="W137" s="96"/>
      <x:c r="X137" s="96"/>
      <x:c r="Y137" s="96"/>
      <x:c r="Z137" s="96"/>
    </x:row>
    <x:row r="138">
      <x:c r="A138" s="96"/>
      <x:c r="B138" s="96"/>
      <x:c r="C138" s="96"/>
      <x:c r="D138" s="96"/>
      <x:c r="E138" s="96"/>
      <x:c r="F138" s="96"/>
      <x:c r="G138" s="96"/>
      <x:c r="H138" s="96"/>
      <x:c r="I138" s="96"/>
      <x:c r="J138" s="96"/>
      <x:c r="K138" s="96"/>
      <x:c r="L138" s="96"/>
      <x:c r="M138" s="96"/>
      <x:c r="N138" s="96"/>
      <x:c r="O138" s="96"/>
      <x:c r="P138" s="96"/>
      <x:c r="Q138" s="96"/>
      <x:c r="R138" s="96"/>
      <x:c r="S138" s="96"/>
      <x:c r="T138" s="96"/>
      <x:c r="U138" s="96"/>
      <x:c r="V138" s="96"/>
      <x:c r="W138" s="96"/>
      <x:c r="X138" s="96"/>
      <x:c r="Y138" s="96"/>
      <x:c r="Z138" s="96"/>
    </x:row>
    <x:row r="139">
      <x:c r="A139" s="96"/>
      <x:c r="B139" s="96"/>
      <x:c r="C139" s="96"/>
      <x:c r="D139" s="96"/>
      <x:c r="E139" s="96"/>
      <x:c r="F139" s="96"/>
      <x:c r="G139" s="96"/>
      <x:c r="H139" s="96"/>
      <x:c r="I139" s="96"/>
      <x:c r="J139" s="96"/>
      <x:c r="K139" s="96"/>
      <x:c r="L139" s="96"/>
      <x:c r="M139" s="96"/>
      <x:c r="N139" s="96"/>
      <x:c r="O139" s="96"/>
      <x:c r="P139" s="96"/>
      <x:c r="Q139" s="96"/>
      <x:c r="R139" s="96"/>
      <x:c r="S139" s="96"/>
      <x:c r="T139" s="96"/>
      <x:c r="U139" s="96"/>
      <x:c r="V139" s="96"/>
      <x:c r="W139" s="96"/>
      <x:c r="X139" s="96"/>
      <x:c r="Y139" s="96"/>
      <x:c r="Z139" s="96"/>
    </x:row>
    <x:row r="140">
      <x:c r="A140" s="96"/>
      <x:c r="B140" s="96"/>
      <x:c r="C140" s="96"/>
      <x:c r="D140" s="96"/>
      <x:c r="E140" s="96"/>
      <x:c r="F140" s="96"/>
      <x:c r="G140" s="96"/>
      <x:c r="H140" s="96"/>
      <x:c r="I140" s="96"/>
      <x:c r="J140" s="96"/>
      <x:c r="K140" s="96"/>
      <x:c r="L140" s="96"/>
      <x:c r="M140" s="96"/>
      <x:c r="N140" s="96"/>
      <x:c r="O140" s="96"/>
      <x:c r="P140" s="96"/>
      <x:c r="Q140" s="96"/>
      <x:c r="R140" s="96"/>
      <x:c r="S140" s="96"/>
      <x:c r="T140" s="96"/>
      <x:c r="U140" s="96"/>
      <x:c r="V140" s="96"/>
      <x:c r="W140" s="96"/>
      <x:c r="X140" s="96"/>
      <x:c r="Y140" s="96"/>
      <x:c r="Z140" s="96"/>
    </x:row>
    <x:row r="141">
      <x:c r="A141" s="96"/>
      <x:c r="B141" s="96"/>
      <x:c r="C141" s="96"/>
      <x:c r="D141" s="96"/>
      <x:c r="E141" s="96"/>
      <x:c r="F141" s="96"/>
      <x:c r="G141" s="96"/>
      <x:c r="H141" s="96"/>
      <x:c r="I141" s="96"/>
      <x:c r="J141" s="96"/>
      <x:c r="K141" s="96"/>
      <x:c r="L141" s="96"/>
      <x:c r="M141" s="96"/>
      <x:c r="N141" s="96"/>
      <x:c r="O141" s="96"/>
      <x:c r="P141" s="96"/>
      <x:c r="Q141" s="96"/>
      <x:c r="R141" s="96"/>
      <x:c r="S141" s="96"/>
      <x:c r="T141" s="96"/>
      <x:c r="U141" s="96"/>
      <x:c r="V141" s="96"/>
      <x:c r="W141" s="96"/>
      <x:c r="X141" s="96"/>
      <x:c r="Y141" s="96"/>
      <x:c r="Z141" s="96"/>
    </x:row>
    <x:row r="142">
      <x:c r="A142" s="96"/>
      <x:c r="B142" s="96"/>
      <x:c r="C142" s="96"/>
      <x:c r="D142" s="96"/>
      <x:c r="E142" s="96"/>
      <x:c r="F142" s="96"/>
      <x:c r="G142" s="96"/>
      <x:c r="H142" s="96"/>
      <x:c r="I142" s="96"/>
      <x:c r="J142" s="96"/>
      <x:c r="K142" s="96"/>
      <x:c r="L142" s="96"/>
      <x:c r="M142" s="96"/>
      <x:c r="N142" s="96"/>
      <x:c r="O142" s="96"/>
      <x:c r="P142" s="96"/>
      <x:c r="Q142" s="96"/>
      <x:c r="R142" s="96"/>
      <x:c r="S142" s="96"/>
      <x:c r="T142" s="96"/>
      <x:c r="U142" s="96"/>
      <x:c r="V142" s="96"/>
      <x:c r="W142" s="96"/>
      <x:c r="X142" s="96"/>
      <x:c r="Y142" s="96"/>
      <x:c r="Z142" s="96"/>
    </x:row>
    <x:row r="143">
      <x:c r="A143" s="96"/>
      <x:c r="B143" s="96"/>
      <x:c r="C143" s="96"/>
      <x:c r="D143" s="96"/>
      <x:c r="E143" s="96"/>
      <x:c r="F143" s="96"/>
      <x:c r="G143" s="96"/>
      <x:c r="H143" s="96"/>
      <x:c r="I143" s="96"/>
      <x:c r="J143" s="96"/>
      <x:c r="K143" s="96"/>
      <x:c r="L143" s="96"/>
      <x:c r="M143" s="96"/>
      <x:c r="N143" s="96"/>
      <x:c r="O143" s="96"/>
      <x:c r="P143" s="96"/>
      <x:c r="Q143" s="96"/>
      <x:c r="R143" s="96"/>
      <x:c r="S143" s="96"/>
      <x:c r="T143" s="96"/>
      <x:c r="U143" s="96"/>
      <x:c r="V143" s="96"/>
      <x:c r="W143" s="96"/>
      <x:c r="X143" s="96"/>
      <x:c r="Y143" s="96"/>
      <x:c r="Z143" s="96"/>
    </x:row>
    <x:row r="144">
      <x:c r="A144" s="96"/>
      <x:c r="B144" s="96"/>
      <x:c r="C144" s="96"/>
      <x:c r="D144" s="96"/>
      <x:c r="E144" s="96"/>
      <x:c r="F144" s="96"/>
      <x:c r="G144" s="96"/>
      <x:c r="H144" s="96"/>
      <x:c r="I144" s="96"/>
      <x:c r="J144" s="96"/>
      <x:c r="K144" s="96"/>
      <x:c r="L144" s="96"/>
      <x:c r="M144" s="96"/>
      <x:c r="N144" s="96"/>
      <x:c r="O144" s="96"/>
      <x:c r="P144" s="96"/>
      <x:c r="Q144" s="96"/>
      <x:c r="R144" s="96"/>
      <x:c r="S144" s="96"/>
      <x:c r="T144" s="96"/>
      <x:c r="U144" s="96"/>
      <x:c r="V144" s="96"/>
      <x:c r="W144" s="96"/>
      <x:c r="X144" s="96"/>
      <x:c r="Y144" s="96"/>
      <x:c r="Z144" s="96"/>
    </x:row>
    <x:row r="145">
      <x:c r="A145" s="96"/>
      <x:c r="B145" s="96"/>
      <x:c r="C145" s="96"/>
      <x:c r="D145" s="96"/>
      <x:c r="E145" s="96"/>
      <x:c r="F145" s="96"/>
      <x:c r="G145" s="96"/>
      <x:c r="H145" s="96"/>
      <x:c r="I145" s="96"/>
      <x:c r="J145" s="96"/>
      <x:c r="K145" s="96"/>
      <x:c r="L145" s="96"/>
      <x:c r="M145" s="96"/>
      <x:c r="N145" s="96"/>
      <x:c r="O145" s="96"/>
      <x:c r="P145" s="96"/>
      <x:c r="Q145" s="96"/>
      <x:c r="R145" s="96"/>
      <x:c r="S145" s="96"/>
      <x:c r="T145" s="96"/>
      <x:c r="U145" s="96"/>
      <x:c r="V145" s="96"/>
      <x:c r="W145" s="96"/>
      <x:c r="X145" s="96"/>
      <x:c r="Y145" s="96"/>
      <x:c r="Z145" s="96"/>
    </x:row>
    <x:row r="146">
      <x:c r="A146" s="96"/>
      <x:c r="B146" s="96"/>
      <x:c r="C146" s="96"/>
      <x:c r="D146" s="96"/>
      <x:c r="E146" s="96"/>
      <x:c r="F146" s="96"/>
      <x:c r="G146" s="96"/>
      <x:c r="H146" s="96"/>
      <x:c r="I146" s="96"/>
      <x:c r="J146" s="96"/>
      <x:c r="K146" s="96"/>
      <x:c r="L146" s="96"/>
      <x:c r="M146" s="96"/>
      <x:c r="N146" s="96"/>
      <x:c r="O146" s="96"/>
      <x:c r="P146" s="96"/>
      <x:c r="Q146" s="96"/>
      <x:c r="R146" s="96"/>
      <x:c r="S146" s="96"/>
      <x:c r="T146" s="96"/>
      <x:c r="U146" s="96"/>
      <x:c r="V146" s="96"/>
      <x:c r="W146" s="96"/>
      <x:c r="X146" s="96"/>
      <x:c r="Y146" s="96"/>
      <x:c r="Z146" s="96"/>
    </x:row>
    <x:row r="147">
      <x:c r="A147" s="96"/>
      <x:c r="B147" s="96"/>
      <x:c r="C147" s="96"/>
      <x:c r="D147" s="96"/>
      <x:c r="E147" s="96"/>
      <x:c r="F147" s="96"/>
      <x:c r="G147" s="96"/>
      <x:c r="H147" s="96"/>
      <x:c r="I147" s="96"/>
      <x:c r="J147" s="96"/>
      <x:c r="K147" s="96"/>
      <x:c r="L147" s="96"/>
      <x:c r="M147" s="96"/>
      <x:c r="N147" s="96"/>
      <x:c r="O147" s="96"/>
      <x:c r="P147" s="96"/>
      <x:c r="Q147" s="96"/>
      <x:c r="R147" s="96"/>
      <x:c r="S147" s="96"/>
      <x:c r="T147" s="96"/>
      <x:c r="U147" s="96"/>
      <x:c r="V147" s="96"/>
      <x:c r="W147" s="96"/>
      <x:c r="X147" s="96"/>
      <x:c r="Y147" s="96"/>
      <x:c r="Z147" s="96"/>
    </x:row>
    <x:row r="148">
      <x:c r="A148" s="96"/>
      <x:c r="B148" s="96"/>
      <x:c r="C148" s="96"/>
      <x:c r="D148" s="96"/>
      <x:c r="E148" s="96"/>
      <x:c r="F148" s="96"/>
      <x:c r="G148" s="96"/>
      <x:c r="H148" s="96"/>
      <x:c r="I148" s="96"/>
      <x:c r="J148" s="96"/>
      <x:c r="K148" s="96"/>
      <x:c r="L148" s="96"/>
      <x:c r="M148" s="96"/>
      <x:c r="N148" s="96"/>
      <x:c r="O148" s="96"/>
      <x:c r="P148" s="96"/>
      <x:c r="Q148" s="96"/>
      <x:c r="R148" s="96"/>
      <x:c r="S148" s="96"/>
      <x:c r="T148" s="96"/>
      <x:c r="U148" s="96"/>
      <x:c r="V148" s="96"/>
      <x:c r="W148" s="96"/>
      <x:c r="X148" s="96"/>
      <x:c r="Y148" s="96"/>
      <x:c r="Z148" s="96"/>
    </x:row>
    <x:row r="149">
      <x:c r="A149" s="96"/>
      <x:c r="B149" s="96"/>
      <x:c r="C149" s="96"/>
      <x:c r="D149" s="96"/>
      <x:c r="E149" s="96"/>
      <x:c r="F149" s="96"/>
      <x:c r="G149" s="96"/>
      <x:c r="H149" s="96"/>
      <x:c r="I149" s="96"/>
      <x:c r="J149" s="96"/>
      <x:c r="K149" s="96"/>
      <x:c r="L149" s="96"/>
      <x:c r="M149" s="96"/>
      <x:c r="N149" s="96"/>
      <x:c r="O149" s="96"/>
      <x:c r="P149" s="96"/>
      <x:c r="Q149" s="96"/>
      <x:c r="R149" s="96"/>
      <x:c r="S149" s="96"/>
      <x:c r="T149" s="96"/>
      <x:c r="U149" s="96"/>
      <x:c r="V149" s="96"/>
      <x:c r="W149" s="96"/>
      <x:c r="X149" s="96"/>
      <x:c r="Y149" s="96"/>
      <x:c r="Z149" s="96"/>
    </x:row>
    <x:row r="150">
      <x:c r="A150" s="96"/>
      <x:c r="B150" s="96"/>
      <x:c r="C150" s="96"/>
      <x:c r="D150" s="96"/>
      <x:c r="E150" s="96"/>
      <x:c r="F150" s="96"/>
      <x:c r="G150" s="96"/>
      <x:c r="H150" s="96"/>
      <x:c r="I150" s="96"/>
      <x:c r="J150" s="96"/>
      <x:c r="K150" s="96"/>
      <x:c r="L150" s="96"/>
      <x:c r="M150" s="96"/>
      <x:c r="N150" s="96"/>
      <x:c r="O150" s="96"/>
      <x:c r="P150" s="96"/>
      <x:c r="Q150" s="96"/>
      <x:c r="R150" s="96"/>
      <x:c r="S150" s="96"/>
      <x:c r="T150" s="96"/>
      <x:c r="U150" s="96"/>
      <x:c r="V150" s="96"/>
      <x:c r="W150" s="96"/>
      <x:c r="X150" s="96"/>
      <x:c r="Y150" s="96"/>
      <x:c r="Z150" s="96"/>
    </x:row>
    <x:row r="151">
      <x:c r="A151" s="96"/>
      <x:c r="B151" s="96"/>
      <x:c r="C151" s="96"/>
      <x:c r="D151" s="96"/>
      <x:c r="E151" s="96"/>
      <x:c r="F151" s="96"/>
      <x:c r="G151" s="96"/>
      <x:c r="H151" s="96"/>
      <x:c r="I151" s="96"/>
      <x:c r="J151" s="96"/>
      <x:c r="K151" s="96"/>
      <x:c r="L151" s="96"/>
      <x:c r="M151" s="96"/>
      <x:c r="N151" s="96"/>
      <x:c r="O151" s="96"/>
      <x:c r="P151" s="96"/>
      <x:c r="Q151" s="96"/>
      <x:c r="R151" s="96"/>
      <x:c r="S151" s="96"/>
      <x:c r="T151" s="96"/>
      <x:c r="U151" s="96"/>
      <x:c r="V151" s="96"/>
      <x:c r="W151" s="96"/>
      <x:c r="X151" s="96"/>
      <x:c r="Y151" s="96"/>
      <x:c r="Z151" s="96"/>
    </x:row>
    <x:row r="152">
      <x:c r="A152" s="96"/>
      <x:c r="B152" s="96"/>
      <x:c r="C152" s="96"/>
      <x:c r="D152" s="96"/>
      <x:c r="E152" s="96"/>
      <x:c r="F152" s="96"/>
      <x:c r="G152" s="96"/>
      <x:c r="H152" s="96"/>
      <x:c r="I152" s="96"/>
      <x:c r="J152" s="96"/>
      <x:c r="K152" s="96"/>
      <x:c r="L152" s="96"/>
      <x:c r="M152" s="96"/>
      <x:c r="N152" s="96"/>
      <x:c r="O152" s="96"/>
      <x:c r="P152" s="96"/>
      <x:c r="Q152" s="96"/>
      <x:c r="R152" s="96"/>
      <x:c r="S152" s="96"/>
      <x:c r="T152" s="96"/>
      <x:c r="U152" s="96"/>
      <x:c r="V152" s="96"/>
      <x:c r="W152" s="96"/>
      <x:c r="X152" s="96"/>
      <x:c r="Y152" s="96"/>
      <x:c r="Z152" s="96"/>
    </x:row>
    <x:row r="153">
      <x:c r="A153" s="96"/>
      <x:c r="B153" s="96"/>
      <x:c r="C153" s="96"/>
      <x:c r="D153" s="96"/>
      <x:c r="E153" s="96"/>
      <x:c r="F153" s="96"/>
      <x:c r="G153" s="96"/>
      <x:c r="H153" s="96"/>
      <x:c r="I153" s="96"/>
      <x:c r="J153" s="96"/>
      <x:c r="K153" s="96"/>
      <x:c r="L153" s="96"/>
      <x:c r="M153" s="96"/>
      <x:c r="N153" s="96"/>
      <x:c r="O153" s="96"/>
      <x:c r="P153" s="96"/>
      <x:c r="Q153" s="96"/>
      <x:c r="R153" s="96"/>
      <x:c r="S153" s="96"/>
      <x:c r="T153" s="96"/>
      <x:c r="U153" s="96"/>
      <x:c r="V153" s="96"/>
      <x:c r="W153" s="96"/>
      <x:c r="X153" s="96"/>
      <x:c r="Y153" s="96"/>
      <x:c r="Z153" s="96"/>
    </x:row>
    <x:row r="154">
      <x:c r="A154" s="96"/>
      <x:c r="B154" s="96"/>
      <x:c r="C154" s="96"/>
      <x:c r="D154" s="96"/>
      <x:c r="E154" s="96"/>
      <x:c r="F154" s="96"/>
      <x:c r="G154" s="96"/>
      <x:c r="H154" s="96"/>
      <x:c r="I154" s="96"/>
      <x:c r="J154" s="96"/>
      <x:c r="K154" s="96"/>
      <x:c r="L154" s="96"/>
      <x:c r="M154" s="96"/>
      <x:c r="N154" s="96"/>
      <x:c r="O154" s="96"/>
      <x:c r="P154" s="96"/>
      <x:c r="Q154" s="96"/>
      <x:c r="R154" s="96"/>
      <x:c r="S154" s="96"/>
      <x:c r="T154" s="96"/>
      <x:c r="U154" s="96"/>
      <x:c r="V154" s="96"/>
      <x:c r="W154" s="96"/>
      <x:c r="X154" s="96"/>
      <x:c r="Y154" s="96"/>
      <x:c r="Z154" s="96"/>
    </x:row>
    <x:row r="155">
      <x:c r="A155" s="96"/>
      <x:c r="B155" s="96"/>
      <x:c r="C155" s="96"/>
      <x:c r="D155" s="96"/>
      <x:c r="E155" s="96"/>
      <x:c r="F155" s="96"/>
      <x:c r="G155" s="96"/>
      <x:c r="H155" s="96"/>
      <x:c r="I155" s="96"/>
      <x:c r="J155" s="96"/>
      <x:c r="K155" s="96"/>
      <x:c r="L155" s="96"/>
      <x:c r="M155" s="96"/>
      <x:c r="N155" s="96"/>
      <x:c r="O155" s="96"/>
      <x:c r="P155" s="96"/>
      <x:c r="Q155" s="96"/>
      <x:c r="R155" s="96"/>
      <x:c r="S155" s="96"/>
      <x:c r="T155" s="96"/>
      <x:c r="U155" s="96"/>
      <x:c r="V155" s="96"/>
      <x:c r="W155" s="96"/>
      <x:c r="X155" s="96"/>
      <x:c r="Y155" s="96"/>
      <x:c r="Z155" s="96"/>
    </x:row>
    <x:row r="156">
      <x:c r="A156" s="96"/>
      <x:c r="B156" s="96"/>
      <x:c r="C156" s="96"/>
      <x:c r="D156" s="96"/>
      <x:c r="E156" s="96"/>
      <x:c r="F156" s="96"/>
      <x:c r="G156" s="96"/>
      <x:c r="H156" s="96"/>
      <x:c r="I156" s="96"/>
      <x:c r="J156" s="96"/>
      <x:c r="K156" s="96"/>
      <x:c r="L156" s="96"/>
      <x:c r="M156" s="96"/>
      <x:c r="N156" s="96"/>
      <x:c r="O156" s="96"/>
      <x:c r="P156" s="96"/>
      <x:c r="Q156" s="96"/>
      <x:c r="R156" s="96"/>
      <x:c r="S156" s="96"/>
      <x:c r="T156" s="96"/>
      <x:c r="U156" s="96"/>
      <x:c r="V156" s="96"/>
      <x:c r="W156" s="96"/>
      <x:c r="X156" s="96"/>
      <x:c r="Y156" s="96"/>
      <x:c r="Z156" s="96"/>
    </x:row>
    <x:row r="157">
      <x:c r="A157" s="96"/>
      <x:c r="B157" s="96"/>
      <x:c r="C157" s="96"/>
      <x:c r="D157" s="96"/>
      <x:c r="E157" s="96"/>
      <x:c r="F157" s="96"/>
      <x:c r="G157" s="96"/>
      <x:c r="H157" s="96"/>
      <x:c r="I157" s="96"/>
      <x:c r="J157" s="96"/>
      <x:c r="K157" s="96"/>
      <x:c r="L157" s="96"/>
      <x:c r="M157" s="96"/>
      <x:c r="N157" s="96"/>
      <x:c r="O157" s="96"/>
      <x:c r="P157" s="96"/>
      <x:c r="Q157" s="96"/>
      <x:c r="R157" s="96"/>
      <x:c r="S157" s="96"/>
      <x:c r="T157" s="96"/>
      <x:c r="U157" s="96"/>
      <x:c r="V157" s="96"/>
      <x:c r="W157" s="96"/>
      <x:c r="X157" s="96"/>
      <x:c r="Y157" s="96"/>
      <x:c r="Z157" s="96"/>
    </x:row>
    <x:row r="158">
      <x:c r="A158" s="96"/>
      <x:c r="B158" s="96"/>
      <x:c r="C158" s="96"/>
      <x:c r="D158" s="96"/>
      <x:c r="E158" s="96"/>
      <x:c r="F158" s="96"/>
      <x:c r="G158" s="96"/>
      <x:c r="H158" s="96"/>
      <x:c r="I158" s="96"/>
      <x:c r="J158" s="96"/>
      <x:c r="K158" s="96"/>
      <x:c r="L158" s="96"/>
      <x:c r="M158" s="96"/>
      <x:c r="N158" s="96"/>
      <x:c r="O158" s="96"/>
      <x:c r="P158" s="96"/>
      <x:c r="Q158" s="96"/>
      <x:c r="R158" s="96"/>
      <x:c r="S158" s="96"/>
      <x:c r="T158" s="96"/>
      <x:c r="U158" s="96"/>
      <x:c r="V158" s="96"/>
      <x:c r="W158" s="96"/>
      <x:c r="X158" s="96"/>
      <x:c r="Y158" s="96"/>
      <x:c r="Z158" s="96"/>
    </x:row>
    <x:row r="159">
      <x:c r="A159" s="96"/>
      <x:c r="B159" s="96"/>
      <x:c r="C159" s="96"/>
      <x:c r="D159" s="96"/>
      <x:c r="E159" s="96"/>
      <x:c r="F159" s="96"/>
      <x:c r="G159" s="96"/>
      <x:c r="H159" s="96"/>
      <x:c r="I159" s="96"/>
      <x:c r="J159" s="96"/>
      <x:c r="K159" s="96"/>
      <x:c r="L159" s="96"/>
      <x:c r="M159" s="96"/>
      <x:c r="N159" s="96"/>
      <x:c r="O159" s="96"/>
      <x:c r="P159" s="96"/>
      <x:c r="Q159" s="96"/>
      <x:c r="R159" s="96"/>
      <x:c r="S159" s="96"/>
      <x:c r="T159" s="96"/>
      <x:c r="U159" s="96"/>
      <x:c r="V159" s="96"/>
      <x:c r="W159" s="96"/>
      <x:c r="X159" s="96"/>
      <x:c r="Y159" s="96"/>
      <x:c r="Z159" s="96"/>
    </x:row>
    <x:row r="160">
      <x:c r="A160" s="96"/>
      <x:c r="B160" s="96"/>
      <x:c r="C160" s="96"/>
      <x:c r="D160" s="96"/>
      <x:c r="E160" s="96"/>
      <x:c r="F160" s="96"/>
      <x:c r="G160" s="96"/>
      <x:c r="H160" s="96"/>
      <x:c r="I160" s="96"/>
      <x:c r="J160" s="96"/>
      <x:c r="K160" s="96"/>
      <x:c r="L160" s="96"/>
      <x:c r="M160" s="96"/>
      <x:c r="N160" s="96"/>
      <x:c r="O160" s="96"/>
      <x:c r="P160" s="96"/>
      <x:c r="Q160" s="96"/>
      <x:c r="R160" s="96"/>
      <x:c r="S160" s="96"/>
      <x:c r="T160" s="96"/>
      <x:c r="U160" s="96"/>
      <x:c r="V160" s="96"/>
      <x:c r="W160" s="96"/>
      <x:c r="X160" s="96"/>
      <x:c r="Y160" s="96"/>
      <x:c r="Z160" s="96"/>
    </x:row>
    <x:row r="161">
      <x:c r="A161" s="96"/>
      <x:c r="B161" s="96"/>
      <x:c r="C161" s="96"/>
      <x:c r="D161" s="96"/>
      <x:c r="E161" s="96"/>
      <x:c r="F161" s="96"/>
      <x:c r="G161" s="96"/>
      <x:c r="H161" s="96"/>
      <x:c r="I161" s="96"/>
      <x:c r="J161" s="96"/>
      <x:c r="K161" s="96"/>
      <x:c r="L161" s="96"/>
      <x:c r="M161" s="96"/>
      <x:c r="N161" s="96"/>
      <x:c r="O161" s="96"/>
      <x:c r="P161" s="96"/>
      <x:c r="Q161" s="96"/>
      <x:c r="R161" s="96"/>
      <x:c r="S161" s="96"/>
      <x:c r="T161" s="96"/>
      <x:c r="U161" s="96"/>
      <x:c r="V161" s="96"/>
      <x:c r="W161" s="96"/>
      <x:c r="X161" s="96"/>
      <x:c r="Y161" s="96"/>
      <x:c r="Z161" s="96"/>
    </x:row>
    <x:row r="162">
      <x:c r="A162" s="96"/>
      <x:c r="B162" s="96"/>
      <x:c r="C162" s="96"/>
      <x:c r="D162" s="96"/>
      <x:c r="E162" s="96"/>
      <x:c r="F162" s="96"/>
      <x:c r="G162" s="96"/>
      <x:c r="H162" s="96"/>
      <x:c r="I162" s="96"/>
      <x:c r="J162" s="96"/>
      <x:c r="K162" s="96"/>
      <x:c r="L162" s="96"/>
      <x:c r="M162" s="96"/>
      <x:c r="N162" s="96"/>
      <x:c r="O162" s="96"/>
      <x:c r="P162" s="96"/>
      <x:c r="Q162" s="96"/>
      <x:c r="R162" s="96"/>
      <x:c r="S162" s="96"/>
      <x:c r="T162" s="96"/>
      <x:c r="U162" s="96"/>
      <x:c r="V162" s="96"/>
      <x:c r="W162" s="96"/>
      <x:c r="X162" s="96"/>
      <x:c r="Y162" s="96"/>
      <x:c r="Z162" s="96"/>
    </x:row>
    <x:row r="163">
      <x:c r="A163" s="96"/>
      <x:c r="B163" s="96"/>
      <x:c r="C163" s="96"/>
      <x:c r="D163" s="96"/>
      <x:c r="E163" s="96"/>
      <x:c r="F163" s="96"/>
      <x:c r="G163" s="96"/>
      <x:c r="H163" s="96"/>
      <x:c r="I163" s="96"/>
      <x:c r="J163" s="96"/>
      <x:c r="K163" s="96"/>
      <x:c r="L163" s="96"/>
      <x:c r="M163" s="96"/>
      <x:c r="N163" s="96"/>
      <x:c r="O163" s="96"/>
      <x:c r="P163" s="96"/>
      <x:c r="Q163" s="96"/>
      <x:c r="R163" s="96"/>
      <x:c r="S163" s="96"/>
      <x:c r="T163" s="96"/>
      <x:c r="U163" s="96"/>
      <x:c r="V163" s="96"/>
      <x:c r="W163" s="96"/>
      <x:c r="X163" s="96"/>
      <x:c r="Y163" s="96"/>
      <x:c r="Z163" s="96"/>
    </x:row>
    <x:row r="164">
      <x:c r="A164" s="96"/>
      <x:c r="B164" s="96"/>
      <x:c r="C164" s="96"/>
      <x:c r="D164" s="96"/>
      <x:c r="E164" s="96"/>
      <x:c r="F164" s="96"/>
      <x:c r="G164" s="96"/>
      <x:c r="H164" s="96"/>
      <x:c r="I164" s="96"/>
      <x:c r="J164" s="96"/>
      <x:c r="K164" s="96"/>
      <x:c r="L164" s="96"/>
      <x:c r="M164" s="96"/>
      <x:c r="N164" s="96"/>
      <x:c r="O164" s="96"/>
      <x:c r="P164" s="96"/>
      <x:c r="Q164" s="96"/>
      <x:c r="R164" s="96"/>
      <x:c r="S164" s="96"/>
      <x:c r="T164" s="96"/>
      <x:c r="U164" s="96"/>
      <x:c r="V164" s="96"/>
      <x:c r="W164" s="96"/>
      <x:c r="X164" s="96"/>
      <x:c r="Y164" s="96"/>
      <x:c r="Z164" s="96"/>
    </x:row>
    <x:row r="165">
      <x:c r="A165" s="96"/>
      <x:c r="B165" s="96"/>
      <x:c r="C165" s="96"/>
      <x:c r="D165" s="96"/>
      <x:c r="E165" s="96"/>
      <x:c r="F165" s="96"/>
      <x:c r="G165" s="96"/>
      <x:c r="H165" s="96"/>
      <x:c r="I165" s="96"/>
      <x:c r="J165" s="96"/>
      <x:c r="K165" s="96"/>
      <x:c r="L165" s="96"/>
      <x:c r="M165" s="96"/>
      <x:c r="N165" s="96"/>
      <x:c r="O165" s="96"/>
      <x:c r="P165" s="96"/>
      <x:c r="Q165" s="96"/>
      <x:c r="R165" s="96"/>
      <x:c r="S165" s="96"/>
      <x:c r="T165" s="96"/>
      <x:c r="U165" s="96"/>
      <x:c r="V165" s="96"/>
      <x:c r="W165" s="96"/>
      <x:c r="X165" s="96"/>
      <x:c r="Y165" s="96"/>
      <x:c r="Z165" s="96"/>
    </x:row>
    <x:row r="166">
      <x:c r="A166" s="96"/>
      <x:c r="B166" s="96"/>
      <x:c r="C166" s="96"/>
      <x:c r="D166" s="96"/>
      <x:c r="E166" s="96"/>
      <x:c r="F166" s="96"/>
      <x:c r="G166" s="96"/>
      <x:c r="H166" s="96"/>
      <x:c r="I166" s="96"/>
      <x:c r="J166" s="96"/>
      <x:c r="K166" s="96"/>
      <x:c r="L166" s="96"/>
      <x:c r="M166" s="96"/>
      <x:c r="N166" s="96"/>
      <x:c r="O166" s="96"/>
      <x:c r="P166" s="96"/>
      <x:c r="Q166" s="96"/>
      <x:c r="R166" s="96"/>
      <x:c r="S166" s="96"/>
      <x:c r="T166" s="96"/>
      <x:c r="U166" s="96"/>
      <x:c r="V166" s="96"/>
      <x:c r="W166" s="96"/>
      <x:c r="X166" s="96"/>
      <x:c r="Y166" s="96"/>
      <x:c r="Z166" s="96"/>
    </x:row>
    <x:row r="167">
      <x:c r="A167" s="96"/>
      <x:c r="B167" s="96"/>
      <x:c r="C167" s="96"/>
      <x:c r="D167" s="96"/>
      <x:c r="E167" s="96"/>
      <x:c r="F167" s="96"/>
      <x:c r="G167" s="96"/>
      <x:c r="H167" s="96"/>
      <x:c r="I167" s="96"/>
      <x:c r="J167" s="96"/>
      <x:c r="K167" s="96"/>
      <x:c r="L167" s="96"/>
      <x:c r="M167" s="96"/>
      <x:c r="N167" s="96"/>
      <x:c r="O167" s="96"/>
      <x:c r="P167" s="96"/>
      <x:c r="Q167" s="96"/>
      <x:c r="R167" s="96"/>
      <x:c r="S167" s="96"/>
      <x:c r="T167" s="96"/>
      <x:c r="U167" s="96"/>
      <x:c r="V167" s="96"/>
      <x:c r="W167" s="96"/>
      <x:c r="X167" s="96"/>
      <x:c r="Y167" s="96"/>
      <x:c r="Z167" s="96"/>
    </x:row>
    <x:row r="168">
      <x:c r="A168" s="96"/>
      <x:c r="B168" s="96"/>
      <x:c r="C168" s="96"/>
      <x:c r="D168" s="96"/>
      <x:c r="E168" s="96"/>
      <x:c r="F168" s="96"/>
      <x:c r="G168" s="96"/>
      <x:c r="H168" s="96"/>
      <x:c r="I168" s="96"/>
      <x:c r="J168" s="96"/>
      <x:c r="K168" s="96"/>
      <x:c r="L168" s="96"/>
      <x:c r="M168" s="96"/>
      <x:c r="N168" s="96"/>
      <x:c r="O168" s="96"/>
      <x:c r="P168" s="96"/>
      <x:c r="Q168" s="96"/>
      <x:c r="R168" s="96"/>
      <x:c r="S168" s="96"/>
      <x:c r="T168" s="96"/>
      <x:c r="U168" s="96"/>
      <x:c r="V168" s="96"/>
      <x:c r="W168" s="96"/>
      <x:c r="X168" s="96"/>
      <x:c r="Y168" s="96"/>
      <x:c r="Z168" s="96"/>
    </x:row>
    <x:row r="169">
      <x:c r="A169" s="96"/>
      <x:c r="B169" s="96"/>
      <x:c r="C169" s="96"/>
      <x:c r="D169" s="96"/>
      <x:c r="E169" s="96"/>
      <x:c r="F169" s="96"/>
      <x:c r="G169" s="96"/>
      <x:c r="H169" s="96"/>
      <x:c r="I169" s="96"/>
      <x:c r="J169" s="96"/>
      <x:c r="K169" s="96"/>
      <x:c r="L169" s="96"/>
      <x:c r="M169" s="96"/>
      <x:c r="N169" s="96"/>
      <x:c r="O169" s="96"/>
      <x:c r="P169" s="96"/>
      <x:c r="Q169" s="96"/>
      <x:c r="R169" s="96"/>
      <x:c r="S169" s="96"/>
      <x:c r="T169" s="96"/>
      <x:c r="U169" s="96"/>
      <x:c r="V169" s="96"/>
      <x:c r="W169" s="96"/>
      <x:c r="X169" s="96"/>
      <x:c r="Y169" s="96"/>
      <x:c r="Z169" s="96"/>
    </x:row>
    <x:row r="170">
      <x:c r="A170" s="96"/>
      <x:c r="B170" s="96"/>
      <x:c r="C170" s="96"/>
      <x:c r="D170" s="96"/>
      <x:c r="E170" s="96"/>
      <x:c r="F170" s="96"/>
      <x:c r="G170" s="96"/>
      <x:c r="H170" s="96"/>
      <x:c r="I170" s="96"/>
      <x:c r="J170" s="96"/>
      <x:c r="K170" s="96"/>
      <x:c r="L170" s="96"/>
      <x:c r="M170" s="96"/>
      <x:c r="N170" s="96"/>
      <x:c r="O170" s="96"/>
      <x:c r="P170" s="96"/>
      <x:c r="Q170" s="96"/>
      <x:c r="R170" s="96"/>
      <x:c r="S170" s="96"/>
      <x:c r="T170" s="96"/>
      <x:c r="U170" s="96"/>
      <x:c r="V170" s="96"/>
      <x:c r="W170" s="96"/>
      <x:c r="X170" s="96"/>
      <x:c r="Y170" s="96"/>
      <x:c r="Z170" s="96"/>
    </x:row>
    <x:row r="171">
      <x:c r="A171" s="96"/>
      <x:c r="B171" s="96"/>
      <x:c r="C171" s="96"/>
      <x:c r="D171" s="96"/>
      <x:c r="E171" s="96"/>
      <x:c r="F171" s="96"/>
      <x:c r="G171" s="96"/>
      <x:c r="H171" s="96"/>
      <x:c r="I171" s="96"/>
      <x:c r="J171" s="96"/>
      <x:c r="K171" s="96"/>
      <x:c r="L171" s="96"/>
      <x:c r="M171" s="96"/>
      <x:c r="N171" s="96"/>
      <x:c r="O171" s="96"/>
      <x:c r="P171" s="96"/>
      <x:c r="Q171" s="96"/>
      <x:c r="R171" s="96"/>
      <x:c r="S171" s="96"/>
      <x:c r="T171" s="96"/>
      <x:c r="U171" s="96"/>
      <x:c r="V171" s="96"/>
      <x:c r="W171" s="96"/>
      <x:c r="X171" s="96"/>
      <x:c r="Y171" s="96"/>
      <x:c r="Z171" s="96"/>
    </x:row>
    <x:row r="172">
      <x:c r="A172" s="96"/>
      <x:c r="B172" s="96"/>
      <x:c r="C172" s="96"/>
      <x:c r="D172" s="96"/>
      <x:c r="E172" s="96"/>
      <x:c r="F172" s="96"/>
      <x:c r="G172" s="96"/>
      <x:c r="H172" s="96"/>
      <x:c r="I172" s="96"/>
      <x:c r="J172" s="96"/>
      <x:c r="K172" s="96"/>
      <x:c r="L172" s="96"/>
      <x:c r="M172" s="96"/>
      <x:c r="N172" s="96"/>
      <x:c r="O172" s="96"/>
      <x:c r="P172" s="96"/>
      <x:c r="Q172" s="96"/>
      <x:c r="R172" s="96"/>
      <x:c r="S172" s="96"/>
      <x:c r="T172" s="96"/>
      <x:c r="U172" s="96"/>
      <x:c r="V172" s="96"/>
      <x:c r="W172" s="96"/>
      <x:c r="X172" s="96"/>
      <x:c r="Y172" s="96"/>
      <x:c r="Z172" s="96"/>
    </x:row>
    <x:row r="173">
      <x:c r="A173" s="96"/>
      <x:c r="B173" s="96"/>
      <x:c r="C173" s="96"/>
      <x:c r="D173" s="96"/>
      <x:c r="E173" s="96"/>
      <x:c r="F173" s="96"/>
      <x:c r="G173" s="96"/>
      <x:c r="H173" s="96"/>
      <x:c r="I173" s="96"/>
      <x:c r="J173" s="96"/>
      <x:c r="K173" s="96"/>
      <x:c r="L173" s="96"/>
      <x:c r="M173" s="96"/>
      <x:c r="N173" s="96"/>
      <x:c r="O173" s="96"/>
      <x:c r="P173" s="96"/>
      <x:c r="Q173" s="96"/>
      <x:c r="R173" s="96"/>
      <x:c r="S173" s="96"/>
      <x:c r="T173" s="96"/>
      <x:c r="U173" s="96"/>
      <x:c r="V173" s="96"/>
      <x:c r="W173" s="96"/>
      <x:c r="X173" s="96"/>
      <x:c r="Y173" s="96"/>
      <x:c r="Z173" s="96"/>
    </x:row>
    <x:row r="174">
      <x:c r="A174" s="96"/>
      <x:c r="B174" s="96"/>
      <x:c r="C174" s="96"/>
      <x:c r="D174" s="96"/>
      <x:c r="E174" s="96"/>
      <x:c r="F174" s="96"/>
      <x:c r="G174" s="96"/>
      <x:c r="H174" s="96"/>
      <x:c r="I174" s="96"/>
      <x:c r="J174" s="96"/>
      <x:c r="K174" s="96"/>
      <x:c r="L174" s="96"/>
      <x:c r="M174" s="96"/>
      <x:c r="N174" s="96"/>
      <x:c r="O174" s="96"/>
      <x:c r="P174" s="96"/>
      <x:c r="Q174" s="96"/>
      <x:c r="R174" s="96"/>
      <x:c r="S174" s="96"/>
      <x:c r="T174" s="96"/>
      <x:c r="U174" s="96"/>
      <x:c r="V174" s="96"/>
      <x:c r="W174" s="96"/>
      <x:c r="X174" s="96"/>
      <x:c r="Y174" s="96"/>
      <x:c r="Z174" s="96"/>
    </x:row>
    <x:row r="175">
      <x:c r="A175" s="96"/>
      <x:c r="B175" s="96"/>
      <x:c r="C175" s="96"/>
      <x:c r="D175" s="96"/>
      <x:c r="E175" s="96"/>
      <x:c r="F175" s="96"/>
      <x:c r="G175" s="96"/>
      <x:c r="H175" s="96"/>
      <x:c r="I175" s="96"/>
      <x:c r="J175" s="96"/>
      <x:c r="K175" s="96"/>
      <x:c r="L175" s="96"/>
      <x:c r="M175" s="96"/>
      <x:c r="N175" s="96"/>
      <x:c r="O175" s="96"/>
      <x:c r="P175" s="96"/>
      <x:c r="Q175" s="96"/>
      <x:c r="R175" s="96"/>
      <x:c r="S175" s="96"/>
      <x:c r="T175" s="96"/>
      <x:c r="U175" s="96"/>
      <x:c r="V175" s="96"/>
      <x:c r="W175" s="96"/>
      <x:c r="X175" s="96"/>
      <x:c r="Y175" s="96"/>
      <x:c r="Z175" s="96"/>
    </x:row>
    <x:row r="176">
      <x:c r="A176" s="96"/>
      <x:c r="B176" s="96"/>
      <x:c r="C176" s="96"/>
      <x:c r="D176" s="96"/>
      <x:c r="E176" s="96"/>
      <x:c r="F176" s="96"/>
      <x:c r="G176" s="96"/>
      <x:c r="H176" s="96"/>
      <x:c r="I176" s="96"/>
      <x:c r="J176" s="96"/>
      <x:c r="K176" s="96"/>
      <x:c r="L176" s="96"/>
      <x:c r="M176" s="96"/>
      <x:c r="N176" s="96"/>
      <x:c r="O176" s="96"/>
      <x:c r="P176" s="96"/>
      <x:c r="Q176" s="96"/>
      <x:c r="R176" s="96"/>
      <x:c r="S176" s="96"/>
      <x:c r="T176" s="96"/>
      <x:c r="U176" s="96"/>
      <x:c r="V176" s="96"/>
      <x:c r="W176" s="96"/>
      <x:c r="X176" s="96"/>
      <x:c r="Y176" s="96"/>
      <x:c r="Z176" s="96"/>
    </x:row>
    <x:row r="177">
      <x:c r="A177" s="96"/>
      <x:c r="B177" s="96"/>
      <x:c r="C177" s="96"/>
      <x:c r="D177" s="96"/>
      <x:c r="E177" s="96"/>
      <x:c r="F177" s="96"/>
      <x:c r="G177" s="96"/>
      <x:c r="H177" s="96"/>
      <x:c r="I177" s="96"/>
      <x:c r="J177" s="96"/>
      <x:c r="K177" s="96"/>
      <x:c r="L177" s="96"/>
      <x:c r="M177" s="96"/>
      <x:c r="N177" s="96"/>
      <x:c r="O177" s="96"/>
      <x:c r="P177" s="96"/>
      <x:c r="Q177" s="96"/>
      <x:c r="R177" s="96"/>
      <x:c r="S177" s="96"/>
      <x:c r="T177" s="96"/>
      <x:c r="U177" s="96"/>
      <x:c r="V177" s="96"/>
      <x:c r="W177" s="96"/>
      <x:c r="X177" s="96"/>
      <x:c r="Y177" s="96"/>
      <x:c r="Z177" s="96"/>
    </x:row>
    <x:row r="178">
      <x:c r="A178" s="96"/>
      <x:c r="B178" s="96"/>
      <x:c r="C178" s="96"/>
      <x:c r="D178" s="96"/>
      <x:c r="E178" s="96"/>
      <x:c r="F178" s="96"/>
      <x:c r="G178" s="96"/>
      <x:c r="H178" s="96"/>
      <x:c r="I178" s="96"/>
      <x:c r="J178" s="96"/>
      <x:c r="K178" s="96"/>
      <x:c r="L178" s="96"/>
      <x:c r="M178" s="96"/>
      <x:c r="N178" s="96"/>
      <x:c r="O178" s="96"/>
      <x:c r="P178" s="96"/>
      <x:c r="Q178" s="96"/>
      <x:c r="R178" s="96"/>
      <x:c r="S178" s="96"/>
      <x:c r="T178" s="96"/>
      <x:c r="U178" s="96"/>
      <x:c r="V178" s="96"/>
      <x:c r="W178" s="96"/>
      <x:c r="X178" s="96"/>
      <x:c r="Y178" s="96"/>
      <x:c r="Z178" s="96"/>
    </x:row>
    <x:row r="179">
      <x:c r="A179" s="96"/>
      <x:c r="B179" s="96"/>
      <x:c r="C179" s="96"/>
      <x:c r="D179" s="96"/>
      <x:c r="E179" s="96"/>
      <x:c r="F179" s="96"/>
      <x:c r="G179" s="96"/>
      <x:c r="H179" s="96"/>
      <x:c r="I179" s="96"/>
      <x:c r="J179" s="96"/>
      <x:c r="K179" s="96"/>
      <x:c r="L179" s="96"/>
      <x:c r="M179" s="96"/>
      <x:c r="N179" s="96"/>
      <x:c r="O179" s="96"/>
      <x:c r="P179" s="96"/>
      <x:c r="Q179" s="96"/>
      <x:c r="R179" s="96"/>
      <x:c r="S179" s="96"/>
      <x:c r="T179" s="96"/>
      <x:c r="U179" s="96"/>
      <x:c r="V179" s="96"/>
      <x:c r="W179" s="96"/>
      <x:c r="X179" s="96"/>
      <x:c r="Y179" s="96"/>
      <x:c r="Z179" s="96"/>
    </x:row>
    <x:row r="180">
      <x:c r="A180" s="96"/>
      <x:c r="B180" s="96"/>
      <x:c r="C180" s="96"/>
      <x:c r="D180" s="96"/>
      <x:c r="E180" s="96"/>
      <x:c r="F180" s="96"/>
      <x:c r="G180" s="96"/>
      <x:c r="H180" s="96"/>
      <x:c r="I180" s="96"/>
      <x:c r="J180" s="96"/>
      <x:c r="K180" s="96"/>
      <x:c r="L180" s="96"/>
      <x:c r="M180" s="96"/>
      <x:c r="N180" s="96"/>
      <x:c r="O180" s="96"/>
      <x:c r="P180" s="96"/>
      <x:c r="Q180" s="96"/>
      <x:c r="R180" s="96"/>
      <x:c r="S180" s="96"/>
      <x:c r="T180" s="96"/>
      <x:c r="U180" s="96"/>
      <x:c r="V180" s="96"/>
      <x:c r="W180" s="96"/>
      <x:c r="X180" s="96"/>
      <x:c r="Y180" s="96"/>
      <x:c r="Z180" s="96"/>
    </x:row>
    <x:row r="181">
      <x:c r="A181" s="96"/>
      <x:c r="B181" s="96"/>
      <x:c r="C181" s="96"/>
      <x:c r="D181" s="96"/>
      <x:c r="E181" s="96"/>
      <x:c r="F181" s="96"/>
      <x:c r="G181" s="96"/>
      <x:c r="H181" s="96"/>
      <x:c r="I181" s="96"/>
      <x:c r="J181" s="96"/>
      <x:c r="K181" s="96"/>
      <x:c r="L181" s="96"/>
      <x:c r="M181" s="96"/>
      <x:c r="N181" s="96"/>
      <x:c r="O181" s="96"/>
      <x:c r="P181" s="96"/>
      <x:c r="Q181" s="96"/>
      <x:c r="R181" s="96"/>
      <x:c r="S181" s="96"/>
      <x:c r="T181" s="96"/>
      <x:c r="U181" s="96"/>
      <x:c r="V181" s="96"/>
      <x:c r="W181" s="96"/>
      <x:c r="X181" s="96"/>
      <x:c r="Y181" s="96"/>
      <x:c r="Z181" s="96"/>
    </x:row>
    <x:row r="182">
      <x:c r="A182" s="96"/>
      <x:c r="B182" s="96"/>
      <x:c r="C182" s="96"/>
      <x:c r="D182" s="96"/>
      <x:c r="E182" s="96"/>
      <x:c r="F182" s="96"/>
      <x:c r="G182" s="96"/>
      <x:c r="H182" s="96"/>
      <x:c r="I182" s="96"/>
      <x:c r="J182" s="96"/>
      <x:c r="K182" s="96"/>
      <x:c r="L182" s="96"/>
      <x:c r="M182" s="96"/>
      <x:c r="N182" s="96"/>
      <x:c r="O182" s="96"/>
      <x:c r="P182" s="96"/>
      <x:c r="Q182" s="96"/>
      <x:c r="R182" s="96"/>
      <x:c r="S182" s="96"/>
      <x:c r="T182" s="96"/>
      <x:c r="U182" s="96"/>
      <x:c r="V182" s="96"/>
      <x:c r="W182" s="96"/>
      <x:c r="X182" s="96"/>
      <x:c r="Y182" s="96"/>
      <x:c r="Z182" s="96"/>
    </x:row>
    <x:row r="183">
      <x:c r="A183" s="96"/>
      <x:c r="B183" s="96"/>
      <x:c r="C183" s="96"/>
      <x:c r="D183" s="96"/>
      <x:c r="E183" s="96"/>
      <x:c r="F183" s="96"/>
      <x:c r="G183" s="96"/>
      <x:c r="H183" s="96"/>
      <x:c r="I183" s="96"/>
      <x:c r="J183" s="96"/>
      <x:c r="K183" s="96"/>
      <x:c r="L183" s="96"/>
      <x:c r="M183" s="96"/>
      <x:c r="N183" s="96"/>
      <x:c r="O183" s="96"/>
      <x:c r="P183" s="96"/>
      <x:c r="Q183" s="96"/>
      <x:c r="R183" s="96"/>
      <x:c r="S183" s="96"/>
      <x:c r="T183" s="96"/>
      <x:c r="U183" s="96"/>
      <x:c r="V183" s="96"/>
      <x:c r="W183" s="96"/>
      <x:c r="X183" s="96"/>
      <x:c r="Y183" s="96"/>
      <x:c r="Z183" s="96"/>
    </x:row>
    <x:row r="184">
      <x:c r="A184" s="96"/>
      <x:c r="B184" s="96"/>
      <x:c r="C184" s="96"/>
      <x:c r="D184" s="96"/>
      <x:c r="E184" s="96"/>
      <x:c r="F184" s="96"/>
      <x:c r="G184" s="96"/>
      <x:c r="H184" s="96"/>
      <x:c r="I184" s="96"/>
      <x:c r="J184" s="96"/>
      <x:c r="K184" s="96"/>
      <x:c r="L184" s="96"/>
      <x:c r="M184" s="96"/>
      <x:c r="N184" s="96"/>
      <x:c r="O184" s="96"/>
      <x:c r="P184" s="96"/>
      <x:c r="Q184" s="96"/>
      <x:c r="R184" s="96"/>
      <x:c r="S184" s="96"/>
      <x:c r="T184" s="96"/>
      <x:c r="U184" s="96"/>
      <x:c r="V184" s="96"/>
      <x:c r="W184" s="96"/>
      <x:c r="X184" s="96"/>
      <x:c r="Y184" s="96"/>
      <x:c r="Z184" s="96"/>
    </x:row>
    <x:row r="185">
      <x:c r="A185" s="96"/>
      <x:c r="B185" s="96"/>
      <x:c r="C185" s="96"/>
      <x:c r="D185" s="96"/>
      <x:c r="E185" s="96"/>
      <x:c r="F185" s="96"/>
      <x:c r="G185" s="96"/>
      <x:c r="H185" s="96"/>
      <x:c r="I185" s="96"/>
      <x:c r="J185" s="96"/>
      <x:c r="K185" s="96"/>
      <x:c r="L185" s="96"/>
      <x:c r="M185" s="96"/>
      <x:c r="N185" s="96"/>
      <x:c r="O185" s="96"/>
      <x:c r="P185" s="96"/>
      <x:c r="Q185" s="96"/>
      <x:c r="R185" s="96"/>
      <x:c r="S185" s="96"/>
      <x:c r="T185" s="96"/>
      <x:c r="U185" s="96"/>
      <x:c r="V185" s="96"/>
      <x:c r="W185" s="96"/>
      <x:c r="X185" s="96"/>
      <x:c r="Y185" s="96"/>
      <x:c r="Z185" s="96"/>
    </x:row>
    <x:row r="186">
      <x:c r="A186" s="96"/>
      <x:c r="B186" s="96"/>
      <x:c r="C186" s="96"/>
      <x:c r="D186" s="96"/>
      <x:c r="E186" s="96"/>
      <x:c r="F186" s="96"/>
      <x:c r="G186" s="96"/>
      <x:c r="H186" s="96"/>
      <x:c r="I186" s="96"/>
      <x:c r="J186" s="96"/>
      <x:c r="K186" s="96"/>
      <x:c r="L186" s="96"/>
      <x:c r="M186" s="96"/>
      <x:c r="N186" s="96"/>
      <x:c r="O186" s="96"/>
      <x:c r="P186" s="96"/>
      <x:c r="Q186" s="96"/>
      <x:c r="R186" s="96"/>
      <x:c r="S186" s="96"/>
      <x:c r="T186" s="96"/>
      <x:c r="U186" s="96"/>
      <x:c r="V186" s="96"/>
      <x:c r="W186" s="96"/>
      <x:c r="X186" s="96"/>
      <x:c r="Y186" s="96"/>
      <x:c r="Z186" s="96"/>
    </x:row>
    <x:row r="187">
      <x:c r="A187" s="96"/>
      <x:c r="B187" s="96"/>
      <x:c r="C187" s="96"/>
      <x:c r="D187" s="96"/>
      <x:c r="E187" s="96"/>
      <x:c r="F187" s="96"/>
      <x:c r="G187" s="96"/>
      <x:c r="H187" s="96"/>
      <x:c r="I187" s="96"/>
      <x:c r="J187" s="96"/>
      <x:c r="K187" s="96"/>
      <x:c r="L187" s="96"/>
      <x:c r="M187" s="96"/>
      <x:c r="N187" s="96"/>
      <x:c r="O187" s="96"/>
      <x:c r="P187" s="96"/>
      <x:c r="Q187" s="96"/>
      <x:c r="R187" s="96"/>
      <x:c r="S187" s="96"/>
      <x:c r="T187" s="96"/>
      <x:c r="U187" s="96"/>
      <x:c r="V187" s="96"/>
      <x:c r="W187" s="96"/>
      <x:c r="X187" s="96"/>
      <x:c r="Y187" s="96"/>
      <x:c r="Z187" s="96"/>
    </x:row>
    <x:row r="188">
      <x:c r="A188" s="96"/>
      <x:c r="B188" s="96"/>
      <x:c r="C188" s="96"/>
      <x:c r="D188" s="96"/>
      <x:c r="E188" s="96"/>
      <x:c r="F188" s="96"/>
      <x:c r="G188" s="96"/>
      <x:c r="H188" s="96"/>
      <x:c r="I188" s="96"/>
      <x:c r="J188" s="96"/>
      <x:c r="K188" s="96"/>
      <x:c r="L188" s="96"/>
      <x:c r="M188" s="96"/>
      <x:c r="N188" s="96"/>
      <x:c r="O188" s="96"/>
      <x:c r="P188" s="96"/>
      <x:c r="Q188" s="96"/>
      <x:c r="R188" s="96"/>
      <x:c r="S188" s="96"/>
      <x:c r="T188" s="96"/>
      <x:c r="U188" s="96"/>
      <x:c r="V188" s="96"/>
      <x:c r="W188" s="96"/>
      <x:c r="X188" s="96"/>
      <x:c r="Y188" s="96"/>
      <x:c r="Z188" s="96"/>
    </x:row>
    <x:row r="189">
      <x:c r="A189" s="96"/>
      <x:c r="B189" s="96"/>
      <x:c r="C189" s="96"/>
      <x:c r="D189" s="96"/>
      <x:c r="E189" s="96"/>
      <x:c r="F189" s="96"/>
      <x:c r="G189" s="96"/>
      <x:c r="H189" s="96"/>
      <x:c r="I189" s="96"/>
      <x:c r="J189" s="96"/>
      <x:c r="K189" s="96"/>
      <x:c r="L189" s="96"/>
      <x:c r="M189" s="96"/>
      <x:c r="N189" s="96"/>
      <x:c r="O189" s="96"/>
      <x:c r="P189" s="96"/>
      <x:c r="Q189" s="96"/>
      <x:c r="R189" s="96"/>
      <x:c r="S189" s="96"/>
      <x:c r="T189" s="96"/>
      <x:c r="U189" s="96"/>
      <x:c r="V189" s="96"/>
      <x:c r="W189" s="96"/>
      <x:c r="X189" s="96"/>
      <x:c r="Y189" s="96"/>
      <x:c r="Z189" s="96"/>
    </x:row>
    <x:row r="190">
      <x:c r="A190" s="96"/>
      <x:c r="B190" s="96"/>
      <x:c r="C190" s="96"/>
      <x:c r="D190" s="96"/>
      <x:c r="E190" s="96"/>
      <x:c r="F190" s="96"/>
      <x:c r="G190" s="96"/>
      <x:c r="H190" s="96"/>
      <x:c r="I190" s="96"/>
      <x:c r="J190" s="96"/>
      <x:c r="K190" s="96"/>
      <x:c r="L190" s="96"/>
      <x:c r="M190" s="96"/>
      <x:c r="N190" s="96"/>
      <x:c r="O190" s="96"/>
      <x:c r="P190" s="96"/>
      <x:c r="Q190" s="96"/>
      <x:c r="R190" s="96"/>
      <x:c r="S190" s="96"/>
      <x:c r="T190" s="96"/>
      <x:c r="U190" s="96"/>
      <x:c r="V190" s="96"/>
      <x:c r="W190" s="96"/>
      <x:c r="X190" s="96"/>
      <x:c r="Y190" s="96"/>
      <x:c r="Z190" s="96"/>
    </x:row>
    <x:row r="191">
      <x:c r="A191" s="96"/>
      <x:c r="B191" s="96"/>
      <x:c r="C191" s="96"/>
      <x:c r="D191" s="96"/>
      <x:c r="E191" s="96"/>
      <x:c r="F191" s="96"/>
      <x:c r="G191" s="96"/>
      <x:c r="H191" s="96"/>
      <x:c r="I191" s="96"/>
      <x:c r="J191" s="96"/>
      <x:c r="K191" s="96"/>
      <x:c r="L191" s="96"/>
      <x:c r="M191" s="96"/>
      <x:c r="N191" s="96"/>
      <x:c r="O191" s="96"/>
      <x:c r="P191" s="96"/>
      <x:c r="Q191" s="96"/>
      <x:c r="R191" s="96"/>
      <x:c r="S191" s="96"/>
      <x:c r="T191" s="96"/>
      <x:c r="U191" s="96"/>
      <x:c r="V191" s="96"/>
      <x:c r="W191" s="96"/>
      <x:c r="X191" s="96"/>
      <x:c r="Y191" s="96"/>
      <x:c r="Z191" s="96"/>
    </x:row>
    <x:row r="192">
      <x:c r="A192" s="96"/>
      <x:c r="B192" s="96"/>
      <x:c r="C192" s="96"/>
      <x:c r="D192" s="96"/>
      <x:c r="E192" s="96"/>
      <x:c r="F192" s="96"/>
      <x:c r="G192" s="96"/>
      <x:c r="H192" s="96"/>
      <x:c r="I192" s="96"/>
      <x:c r="J192" s="96"/>
      <x:c r="K192" s="96"/>
      <x:c r="L192" s="96"/>
      <x:c r="M192" s="96"/>
      <x:c r="N192" s="96"/>
      <x:c r="O192" s="96"/>
      <x:c r="P192" s="96"/>
      <x:c r="Q192" s="96"/>
      <x:c r="R192" s="96"/>
      <x:c r="S192" s="96"/>
      <x:c r="T192" s="96"/>
      <x:c r="U192" s="96"/>
      <x:c r="V192" s="96"/>
      <x:c r="W192" s="96"/>
      <x:c r="X192" s="96"/>
      <x:c r="Y192" s="96"/>
      <x:c r="Z192" s="96"/>
    </x:row>
    <x:row r="193">
      <x:c r="A193" s="96"/>
      <x:c r="B193" s="96"/>
      <x:c r="C193" s="96"/>
      <x:c r="D193" s="96"/>
      <x:c r="E193" s="96"/>
      <x:c r="F193" s="96"/>
      <x:c r="G193" s="96"/>
      <x:c r="H193" s="96"/>
      <x:c r="I193" s="96"/>
      <x:c r="J193" s="96"/>
      <x:c r="K193" s="96"/>
      <x:c r="L193" s="96"/>
      <x:c r="M193" s="96"/>
      <x:c r="N193" s="96"/>
      <x:c r="O193" s="96"/>
      <x:c r="P193" s="96"/>
      <x:c r="Q193" s="96"/>
      <x:c r="R193" s="96"/>
      <x:c r="S193" s="96"/>
      <x:c r="T193" s="96"/>
      <x:c r="U193" s="96"/>
      <x:c r="V193" s="96"/>
      <x:c r="W193" s="96"/>
      <x:c r="X193" s="96"/>
      <x:c r="Y193" s="96"/>
      <x:c r="Z193" s="96"/>
    </x:row>
    <x:row r="194">
      <x:c r="A194" s="96"/>
      <x:c r="B194" s="96"/>
      <x:c r="C194" s="96"/>
      <x:c r="D194" s="96"/>
      <x:c r="E194" s="96"/>
      <x:c r="F194" s="96"/>
      <x:c r="G194" s="96"/>
      <x:c r="H194" s="96"/>
      <x:c r="I194" s="96"/>
      <x:c r="J194" s="96"/>
      <x:c r="K194" s="96"/>
      <x:c r="L194" s="96"/>
      <x:c r="M194" s="96"/>
      <x:c r="N194" s="96"/>
      <x:c r="O194" s="96"/>
      <x:c r="P194" s="96"/>
      <x:c r="Q194" s="96"/>
      <x:c r="R194" s="96"/>
      <x:c r="S194" s="96"/>
      <x:c r="T194" s="96"/>
      <x:c r="U194" s="96"/>
      <x:c r="V194" s="96"/>
      <x:c r="W194" s="96"/>
      <x:c r="X194" s="96"/>
      <x:c r="Y194" s="96"/>
      <x:c r="Z194" s="96"/>
    </x:row>
    <x:row r="195">
      <x:c r="A195" s="96"/>
      <x:c r="B195" s="96"/>
      <x:c r="C195" s="96"/>
      <x:c r="D195" s="96"/>
      <x:c r="E195" s="96"/>
      <x:c r="F195" s="96"/>
      <x:c r="G195" s="96"/>
      <x:c r="H195" s="96"/>
      <x:c r="I195" s="96"/>
      <x:c r="J195" s="96"/>
      <x:c r="K195" s="96"/>
      <x:c r="L195" s="96"/>
      <x:c r="M195" s="96"/>
      <x:c r="N195" s="96"/>
      <x:c r="O195" s="96"/>
      <x:c r="P195" s="96"/>
      <x:c r="Q195" s="96"/>
      <x:c r="R195" s="96"/>
      <x:c r="S195" s="96"/>
      <x:c r="T195" s="96"/>
      <x:c r="U195" s="96"/>
      <x:c r="V195" s="96"/>
      <x:c r="W195" s="96"/>
      <x:c r="X195" s="96"/>
      <x:c r="Y195" s="96"/>
      <x:c r="Z195" s="96"/>
    </x:row>
    <x:row r="196">
      <x:c r="A196" s="96"/>
      <x:c r="B196" s="96"/>
      <x:c r="C196" s="96"/>
      <x:c r="D196" s="96"/>
      <x:c r="E196" s="96"/>
      <x:c r="F196" s="96"/>
      <x:c r="G196" s="96"/>
      <x:c r="H196" s="96"/>
      <x:c r="I196" s="96"/>
      <x:c r="J196" s="96"/>
      <x:c r="K196" s="96"/>
      <x:c r="L196" s="96"/>
      <x:c r="M196" s="96"/>
      <x:c r="N196" s="96"/>
      <x:c r="O196" s="96"/>
      <x:c r="P196" s="96"/>
      <x:c r="Q196" s="96"/>
      <x:c r="R196" s="96"/>
      <x:c r="S196" s="96"/>
      <x:c r="T196" s="96"/>
      <x:c r="U196" s="96"/>
      <x:c r="V196" s="96"/>
      <x:c r="W196" s="96"/>
      <x:c r="X196" s="96"/>
      <x:c r="Y196" s="96"/>
      <x:c r="Z196" s="96"/>
    </x:row>
    <x:row r="197">
      <x:c r="A197" s="96"/>
      <x:c r="B197" s="96"/>
      <x:c r="C197" s="96"/>
      <x:c r="D197" s="96"/>
      <x:c r="E197" s="96"/>
      <x:c r="F197" s="96"/>
      <x:c r="G197" s="96"/>
      <x:c r="H197" s="96"/>
      <x:c r="I197" s="96"/>
      <x:c r="J197" s="96"/>
      <x:c r="K197" s="96"/>
      <x:c r="L197" s="96"/>
      <x:c r="M197" s="96"/>
      <x:c r="N197" s="96"/>
      <x:c r="O197" s="96"/>
      <x:c r="P197" s="96"/>
      <x:c r="Q197" s="96"/>
      <x:c r="R197" s="96"/>
      <x:c r="S197" s="96"/>
      <x:c r="T197" s="96"/>
      <x:c r="U197" s="96"/>
      <x:c r="V197" s="96"/>
      <x:c r="W197" s="96"/>
      <x:c r="X197" s="96"/>
      <x:c r="Y197" s="96"/>
      <x:c r="Z197" s="96"/>
    </x:row>
    <x:row r="198">
      <x:c r="A198" s="96"/>
      <x:c r="B198" s="96"/>
      <x:c r="C198" s="96"/>
      <x:c r="D198" s="96"/>
      <x:c r="E198" s="96"/>
      <x:c r="F198" s="96"/>
      <x:c r="G198" s="96"/>
      <x:c r="H198" s="96"/>
      <x:c r="I198" s="96"/>
      <x:c r="J198" s="96"/>
      <x:c r="K198" s="96"/>
      <x:c r="L198" s="96"/>
      <x:c r="M198" s="96"/>
      <x:c r="N198" s="96"/>
      <x:c r="O198" s="96"/>
      <x:c r="P198" s="96"/>
      <x:c r="Q198" s="96"/>
      <x:c r="R198" s="96"/>
      <x:c r="S198" s="96"/>
      <x:c r="T198" s="96"/>
      <x:c r="U198" s="96"/>
      <x:c r="V198" s="96"/>
      <x:c r="W198" s="96"/>
      <x:c r="X198" s="96"/>
      <x:c r="Y198" s="96"/>
      <x:c r="Z198" s="96"/>
    </x:row>
    <x:row r="199">
      <x:c r="A199" s="96"/>
      <x:c r="B199" s="96"/>
      <x:c r="C199" s="96"/>
      <x:c r="D199" s="96"/>
      <x:c r="E199" s="96"/>
      <x:c r="F199" s="96"/>
      <x:c r="G199" s="96"/>
      <x:c r="H199" s="96"/>
      <x:c r="I199" s="96"/>
      <x:c r="J199" s="96"/>
      <x:c r="K199" s="96"/>
      <x:c r="L199" s="96"/>
      <x:c r="M199" s="96"/>
      <x:c r="N199" s="96"/>
      <x:c r="O199" s="96"/>
      <x:c r="P199" s="96"/>
      <x:c r="Q199" s="96"/>
      <x:c r="R199" s="96"/>
      <x:c r="S199" s="96"/>
      <x:c r="T199" s="96"/>
      <x:c r="U199" s="96"/>
      <x:c r="V199" s="96"/>
      <x:c r="W199" s="96"/>
      <x:c r="X199" s="96"/>
      <x:c r="Y199" s="96"/>
      <x:c r="Z199" s="96"/>
    </x:row>
    <x:row r="200">
      <x:c r="A200" s="96"/>
      <x:c r="B200" s="96"/>
      <x:c r="C200" s="96"/>
      <x:c r="D200" s="96"/>
      <x:c r="E200" s="96"/>
      <x:c r="F200" s="96"/>
      <x:c r="G200" s="96"/>
      <x:c r="H200" s="96"/>
      <x:c r="I200" s="96"/>
      <x:c r="J200" s="96"/>
      <x:c r="K200" s="96"/>
      <x:c r="L200" s="96"/>
      <x:c r="M200" s="96"/>
      <x:c r="N200" s="96"/>
      <x:c r="O200" s="96"/>
      <x:c r="P200" s="96"/>
      <x:c r="Q200" s="96"/>
      <x:c r="R200" s="96"/>
      <x:c r="S200" s="96"/>
      <x:c r="T200" s="96"/>
      <x:c r="U200" s="96"/>
      <x:c r="V200" s="96"/>
      <x:c r="W200" s="96"/>
      <x:c r="X200" s="96"/>
      <x:c r="Y200" s="96"/>
      <x:c r="Z200" s="96"/>
    </x:row>
  </x:sheetData>
  <x:mergeCells>
    <x:mergeCell ref="A1:E1"/>
  </x:mergeCells>
  <x:pageMargins left="0.7" right="0.7" top="0.75" bottom="0.75" header="0.3" footer="0.3"/>
  <x:tableParts count="2">
    <x:tablePart xmlns:r="http://schemas.openxmlformats.org/officeDocument/2006/relationships" r:id="Rfee4c22bfec14324"/>
    <x:tablePart xmlns:r="http://schemas.openxmlformats.org/officeDocument/2006/relationships" r:id="Rbab2dd7caf1a45e6"/>
  </x:tableParts>
</x:worksheet>
</file>